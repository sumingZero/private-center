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<sst xmlns="http://schemas.openxmlformats.org/spreadsheetml/2006/main" count="43" uniqueCount="23">
  <si>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m_n_s</t>
  </si>
  <si>
    <t>m_n_b_t</t>
  </si>
  <si>
    <t>mean_ttft(ms)</t>
  </si>
  <si>
    <t>p99_ttft(ms)</t>
  </si>
  <si>
    <t>mean_tpot(ms)</t>
  </si>
  <si>
    <t>p99_tpot(ms)</t>
  </si>
  <si>
    <t>total_input_tokens</t>
  </si>
  <si>
    <t>total_output_tokens</t>
  </si>
  <si>
    <t>total_token_throughput(tok/s)</t>
  </si>
  <si>
    <t>output_throughput(tok/s)</t>
  </si>
  <si>
    <t>request_throughput(req/s)</t>
  </si>
  <si>
    <t>request_goodput(req/s)</t>
  </si>
  <si>
    <t>completed requests</t>
  </si>
  <si>
    <t>ucm+pd混合+4卡</t>
  </si>
  <si>
    <t>ucm+1p3d</t>
  </si>
  <si>
    <t>P节点总吞吐
req/s</t>
  </si>
  <si>
    <t>D节点总吞吐
req/s</t>
  </si>
  <si>
    <t>PD吞吐比</t>
  </si>
  <si>
    <t>ucm+2p2d</t>
  </si>
  <si>
    <t>ucm+3p1d</t>
  </si>
  <si>
    <t>分割线</t>
  </si>
  <si>
    <t>P:1
D:16</t>
  </si>
  <si>
    <t>P:120000
D:120000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</si>
</sst>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topLeftCell="A14" workbookViewId="0">
      <selection activeCell="D39" sqref="D39"/>
    </sheetView>
  </sheetViews>
  <sheetFormatPr defaultColWidth="9" defaultRowHeight="14.4"/>
  <cols>
    <col min="1" max="1" width="16.4444444444444" style="1" customWidth="1"/>
    <col min="2" max="3" width="9.44444444444444" style="1" customWidth="1"/>
    <col min="4" max="4" width="16.8888888888889" style="1" customWidth="1"/>
    <col min="5" max="5" width="15.6666666666667" style="1" customWidth="1"/>
    <col min="6" max="6" width="16.8888888888889" style="1" customWidth="1"/>
    <col min="7" max="7" width="15.6666666666667" style="1" customWidth="1"/>
    <col min="8" max="8" width="23.1111111111111" style="1" customWidth="1"/>
    <col min="9" max="9" width="24.4444444444444" style="1" customWidth="1"/>
    <col min="10" max="10" width="36.8888888888889" style="1" customWidth="1"/>
    <col min="11" max="11" width="30.6666666666667" style="1" customWidth="1"/>
    <col min="12" max="12" width="31.8888888888889" style="1" customWidth="1"/>
    <col min="13" max="13" width="28.1111111111111" style="1" customWidth="1"/>
    <col min="14" max="14" width="23.1111111111111" style="1" customWidth="1"/>
    <col min="15" max="16384" width="9" style="1"/>
  </cols>
  <sheetData>
    <row r="1" spans="2:14"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>
      <c r="A2" s="4" t="s">
        <v>13</v>
      </c>
      <c r="B2" s="5"/>
      <c r="C2" s="5">
        <v>8192</v>
      </c>
      <c r="D2" s="5">
        <v>6439.84</v>
      </c>
      <c r="E2" s="5">
        <v>33628</v>
      </c>
      <c r="F2" s="5">
        <v>130.93</v>
      </c>
      <c r="G2" s="5">
        <v>893.98</v>
      </c>
      <c r="H2" s="5">
        <v>24587692</v>
      </c>
      <c r="I2" s="5">
        <v>621356</v>
      </c>
      <c r="J2" s="5">
        <v>40242.65</v>
      </c>
      <c r="K2" s="5">
        <v>991.91</v>
      </c>
      <c r="L2" s="5">
        <v>2.8</v>
      </c>
      <c r="M2" s="5">
        <v>0.91950184686161</v>
      </c>
      <c r="N2" s="5">
        <v>1756</v>
      </c>
    </row>
    <row r="3" spans="1:14">
      <c r="A3" s="4"/>
      <c r="B3" s="4"/>
      <c r="C3" s="4">
        <v>16000</v>
      </c>
      <c r="D3" s="6">
        <v>5089.88</v>
      </c>
      <c r="E3" s="6">
        <v>28657.15</v>
      </c>
      <c r="F3" s="6">
        <v>131.83</v>
      </c>
      <c r="G3" s="6">
        <v>1397.43</v>
      </c>
      <c r="H3" s="6">
        <v>24587692</v>
      </c>
      <c r="I3" s="6">
        <v>621356</v>
      </c>
      <c r="J3" s="6">
        <v>40386.62</v>
      </c>
      <c r="K3" s="6">
        <v>995.45</v>
      </c>
      <c r="L3" s="6">
        <v>2.81</v>
      </c>
      <c r="M3" s="6">
        <v>1.09741690457695</v>
      </c>
      <c r="N3" s="6">
        <v>1756</v>
      </c>
    </row>
    <row r="4" spans="1:14">
      <c r="A4" s="4"/>
      <c r="B4" s="4"/>
      <c r="C4" s="4">
        <v>32000</v>
      </c>
      <c r="D4" s="6">
        <v>4568.41</v>
      </c>
      <c r="E4" s="6">
        <v>26629.74</v>
      </c>
      <c r="F4" s="6">
        <v>131.83</v>
      </c>
      <c r="G4" s="6">
        <v>2015.45</v>
      </c>
      <c r="H4" s="6">
        <v>24587692</v>
      </c>
      <c r="I4" s="6">
        <v>621356</v>
      </c>
      <c r="J4" s="6">
        <v>40385.35</v>
      </c>
      <c r="K4" s="6">
        <v>995.42</v>
      </c>
      <c r="L4" s="6">
        <v>2.81</v>
      </c>
      <c r="M4" s="6">
        <v>1.15345310386749</v>
      </c>
      <c r="N4" s="6">
        <v>1756</v>
      </c>
    </row>
    <row r="5" spans="1:14">
      <c r="A5" s="4"/>
      <c r="B5" s="4"/>
      <c r="C5" s="4">
        <v>64000</v>
      </c>
      <c r="D5" s="6">
        <v>4823.45</v>
      </c>
      <c r="E5" s="6">
        <v>28018.43</v>
      </c>
      <c r="F5" s="6">
        <v>135.3</v>
      </c>
      <c r="G5" s="6">
        <v>1909</v>
      </c>
      <c r="H5" s="6">
        <v>24587692</v>
      </c>
      <c r="I5" s="6">
        <v>621356</v>
      </c>
      <c r="J5" s="6">
        <v>40434.42</v>
      </c>
      <c r="K5" s="6">
        <v>996.63</v>
      </c>
      <c r="L5" s="6">
        <v>2.82</v>
      </c>
      <c r="M5" s="6">
        <v>1.14362661052427</v>
      </c>
      <c r="N5" s="6">
        <v>1756</v>
      </c>
    </row>
    <row r="6" spans="4:14"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8" spans="1:14">
      <c r="A8" s="4" t="s">
        <v>14</v>
      </c>
      <c r="B8" s="4"/>
      <c r="C8" s="4">
        <v>8192</v>
      </c>
      <c r="D8" s="6">
        <v>567773.39</v>
      </c>
      <c r="E8" s="6">
        <v>1009308.3</v>
      </c>
      <c r="F8" s="6">
        <v>9.31</v>
      </c>
      <c r="G8" s="6">
        <v>20.58</v>
      </c>
      <c r="H8" s="6">
        <v>24587692</v>
      </c>
      <c r="I8" s="6">
        <v>621356</v>
      </c>
      <c r="J8" s="6">
        <v>15430.36</v>
      </c>
      <c r="K8" s="6">
        <v>380.33</v>
      </c>
      <c r="L8" s="6">
        <v>1.07</v>
      </c>
      <c r="M8" s="6">
        <v>0.00183628888580493</v>
      </c>
      <c r="N8" s="6">
        <v>1756</v>
      </c>
    </row>
    <row r="9" ht="28.8" spans="1:14">
      <c r="A9" s="4"/>
      <c r="B9" s="4"/>
      <c r="C9" s="4"/>
      <c r="D9" s="8" t="s">
        <v>15</v>
      </c>
      <c r="E9" s="8" t="s">
        <v>16</v>
      </c>
      <c r="F9" s="9" t="s">
        <v>17</v>
      </c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9">
        <f>1000/D8</f>
        <v>0.00176126605722047</v>
      </c>
      <c r="E10" s="9">
        <f>1000/(F8*(I8/N8))</f>
        <v>0.303552863617107</v>
      </c>
      <c r="F10" s="9">
        <f>D10/E10</f>
        <v>0.00580217243294427</v>
      </c>
      <c r="G10" s="4"/>
      <c r="H10" s="4"/>
      <c r="I10" s="4"/>
      <c r="J10" s="4"/>
      <c r="K10" s="4"/>
      <c r="L10" s="4"/>
      <c r="M10" s="4"/>
      <c r="N10" s="4"/>
    </row>
    <row r="13" spans="1:14">
      <c r="A13" s="4" t="s">
        <v>18</v>
      </c>
      <c r="B13" s="4"/>
      <c r="C13" s="4">
        <v>8192</v>
      </c>
      <c r="D13" s="6">
        <v>136149.22</v>
      </c>
      <c r="E13" s="6">
        <v>247852.07</v>
      </c>
      <c r="F13" s="6">
        <v>28.26</v>
      </c>
      <c r="G13" s="6">
        <v>110.73</v>
      </c>
      <c r="H13" s="6">
        <v>24587692</v>
      </c>
      <c r="I13" s="6">
        <v>621356</v>
      </c>
      <c r="J13" s="6">
        <v>29127.39</v>
      </c>
      <c r="K13" s="6">
        <v>717.94</v>
      </c>
      <c r="L13" s="6">
        <v>2.03</v>
      </c>
      <c r="M13" s="6">
        <v>0.00577716911360174</v>
      </c>
      <c r="N13" s="6">
        <v>1756</v>
      </c>
    </row>
    <row r="14" ht="28.8" spans="1:14">
      <c r="A14" s="4"/>
      <c r="B14" s="4"/>
      <c r="C14" s="4"/>
      <c r="D14" s="8" t="s">
        <v>15</v>
      </c>
      <c r="E14" s="8" t="s">
        <v>16</v>
      </c>
      <c r="F14" s="9" t="s">
        <v>17</v>
      </c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9">
        <f>1000/D13</f>
        <v>0.00734488232837471</v>
      </c>
      <c r="E15" s="9">
        <f>1000/(F13*(I13/N13))</f>
        <v>0.100002730370675</v>
      </c>
      <c r="F15" s="9">
        <f>D15/E15</f>
        <v>0.0734468179133692</v>
      </c>
      <c r="G15" s="4"/>
      <c r="H15" s="4"/>
      <c r="I15" s="4"/>
      <c r="J15" s="4"/>
      <c r="K15" s="4"/>
      <c r="L15" s="4"/>
      <c r="M15" s="4"/>
      <c r="N15" s="4"/>
    </row>
    <row r="19" spans="1:14">
      <c r="A19" s="4" t="s">
        <v>19</v>
      </c>
      <c r="B19" s="4"/>
      <c r="C19" s="4">
        <v>8192</v>
      </c>
      <c r="D19" s="7">
        <v>139788.02</v>
      </c>
      <c r="E19" s="7">
        <v>255843.72</v>
      </c>
      <c r="F19" s="7">
        <v>132.28</v>
      </c>
      <c r="G19" s="7">
        <v>333.51</v>
      </c>
      <c r="H19" s="7">
        <v>24587692</v>
      </c>
      <c r="I19" s="7">
        <v>621356</v>
      </c>
      <c r="J19" s="7">
        <v>28349.69</v>
      </c>
      <c r="K19" s="7">
        <v>698.77</v>
      </c>
      <c r="L19" s="7">
        <v>1.97</v>
      </c>
      <c r="M19" s="7">
        <v>0.0202425098661723</v>
      </c>
      <c r="N19" s="7">
        <v>1756</v>
      </c>
    </row>
    <row r="20" ht="28.8" spans="1:14">
      <c r="A20" s="4"/>
      <c r="B20" s="4"/>
      <c r="C20" s="4"/>
      <c r="D20" s="8" t="s">
        <v>15</v>
      </c>
      <c r="E20" s="8" t="s">
        <v>16</v>
      </c>
      <c r="F20" s="9" t="s">
        <v>17</v>
      </c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9">
        <f>1000/D19</f>
        <v>0.00715368884973119</v>
      </c>
      <c r="E21" s="9">
        <f>1000/(F19*(I19/N19))</f>
        <v>0.0213643571233389</v>
      </c>
      <c r="F21" s="9">
        <f>D21/E21</f>
        <v>0.33484222382317</v>
      </c>
      <c r="G21" s="4"/>
      <c r="H21" s="4"/>
      <c r="I21" s="4"/>
      <c r="J21" s="4"/>
      <c r="K21" s="4"/>
      <c r="L21" s="4"/>
      <c r="M21" s="4"/>
      <c r="N21" s="4"/>
    </row>
    <row r="23" spans="1:14">
      <c r="A23" s="10" t="s">
        <v>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5" spans="1:14">
      <c r="A25" s="1" t="s">
        <v>13</v>
      </c>
      <c r="C25" s="1">
        <v>32000</v>
      </c>
      <c r="D25" s="7">
        <v>1988.76</v>
      </c>
      <c r="E25" s="7">
        <v>18083.47</v>
      </c>
      <c r="F25" s="7">
        <v>25.85</v>
      </c>
      <c r="G25" s="7">
        <v>312.84</v>
      </c>
      <c r="H25" s="7">
        <v>12983804</v>
      </c>
      <c r="I25" s="7">
        <v>327912</v>
      </c>
      <c r="J25" s="7">
        <v>21613.56</v>
      </c>
      <c r="K25" s="7">
        <v>532.41</v>
      </c>
      <c r="L25" s="7">
        <v>1.51</v>
      </c>
      <c r="M25" s="7">
        <v>1.11707068220968</v>
      </c>
      <c r="N25" s="7">
        <v>930</v>
      </c>
    </row>
    <row r="27" spans="1:14">
      <c r="A27" s="1" t="s">
        <v>14</v>
      </c>
      <c r="C27" s="1">
        <v>8192</v>
      </c>
      <c r="D27" s="7">
        <v>202457.64</v>
      </c>
      <c r="E27" s="7">
        <v>345533.56</v>
      </c>
      <c r="F27" s="7">
        <v>8.56</v>
      </c>
      <c r="G27" s="7">
        <v>15.05</v>
      </c>
      <c r="H27" s="7">
        <v>12983804</v>
      </c>
      <c r="I27" s="7">
        <v>327912</v>
      </c>
      <c r="J27" s="7">
        <v>13963.58</v>
      </c>
      <c r="K27" s="7">
        <v>343.97</v>
      </c>
      <c r="L27" s="7">
        <v>0.98</v>
      </c>
      <c r="M27" s="7">
        <v>0.00629381595294523</v>
      </c>
      <c r="N27" s="7">
        <v>930</v>
      </c>
    </row>
    <row r="28" ht="28.8" spans="4:6">
      <c r="D28" s="8" t="s">
        <v>15</v>
      </c>
      <c r="E28" s="8" t="s">
        <v>16</v>
      </c>
      <c r="F28" s="9" t="s">
        <v>17</v>
      </c>
    </row>
    <row r="29" spans="4:6">
      <c r="D29" s="9">
        <f>1000/D27</f>
        <v>0.00493930483433473</v>
      </c>
      <c r="E29" s="9">
        <f>1000/(F27*(I27/N27))</f>
        <v>0.331323220294116</v>
      </c>
      <c r="F29" s="9">
        <f>D29/E29</f>
        <v>0.014907813674967</v>
      </c>
    </row>
    <row r="31" spans="1:14">
      <c r="A31" s="1" t="s">
        <v>18</v>
      </c>
      <c r="C31" s="1">
        <v>8192</v>
      </c>
      <c r="D31" s="7">
        <v>10707.09</v>
      </c>
      <c r="E31" s="7">
        <v>48702.22</v>
      </c>
      <c r="F31" s="7">
        <v>13.76</v>
      </c>
      <c r="G31" s="7">
        <v>41.81</v>
      </c>
      <c r="H31" s="7">
        <v>12983804</v>
      </c>
      <c r="I31" s="7">
        <v>327912</v>
      </c>
      <c r="J31" s="7">
        <v>21576.02</v>
      </c>
      <c r="K31" s="7">
        <v>531.49</v>
      </c>
      <c r="L31" s="7">
        <v>1.51</v>
      </c>
      <c r="M31" s="7">
        <v>0.444107273656798</v>
      </c>
      <c r="N31" s="7">
        <v>930</v>
      </c>
    </row>
    <row r="32" ht="28.8" spans="4:6">
      <c r="D32" s="8" t="s">
        <v>15</v>
      </c>
      <c r="E32" s="8" t="s">
        <v>16</v>
      </c>
      <c r="F32" s="9" t="s">
        <v>17</v>
      </c>
    </row>
    <row r="33" spans="4:6">
      <c r="D33" s="9">
        <f>1000/D31</f>
        <v>0.0933960581259707</v>
      </c>
      <c r="E33" s="9">
        <f>1000/(F31*(I31/N31))</f>
        <v>0.206113863787619</v>
      </c>
      <c r="F33" s="9">
        <f>D33/E33</f>
        <v>0.453128462150449</v>
      </c>
    </row>
    <row r="35" spans="1:14">
      <c r="A35" s="1" t="s">
        <v>19</v>
      </c>
      <c r="C35" s="1">
        <v>8192</v>
      </c>
      <c r="D35" s="7">
        <v>4964.38</v>
      </c>
      <c r="E35" s="7">
        <v>29935.82</v>
      </c>
      <c r="F35" s="7">
        <v>49.39</v>
      </c>
      <c r="G35" s="7">
        <v>362.16</v>
      </c>
      <c r="H35" s="7">
        <v>12983804</v>
      </c>
      <c r="I35" s="7">
        <v>327912</v>
      </c>
      <c r="J35" s="7">
        <v>21547.58</v>
      </c>
      <c r="K35" s="7">
        <v>530.79</v>
      </c>
      <c r="L35" s="7">
        <v>1.51</v>
      </c>
      <c r="M35" s="7">
        <v>0.681469851506916</v>
      </c>
      <c r="N35" s="7">
        <v>930</v>
      </c>
    </row>
    <row r="36" ht="28.8" spans="4:6">
      <c r="D36" s="8" t="s">
        <v>15</v>
      </c>
      <c r="E36" s="8" t="s">
        <v>16</v>
      </c>
      <c r="F36" s="9" t="s">
        <v>17</v>
      </c>
    </row>
    <row r="37" spans="4:6">
      <c r="D37" s="9">
        <f>1000/D35</f>
        <v>0.201435023104597</v>
      </c>
      <c r="E37" s="9">
        <f>1000/(F35*(I35/N35))</f>
        <v>0.05742309709896</v>
      </c>
      <c r="F37" s="9">
        <f>D37/E37</f>
        <v>3.50790941765915</v>
      </c>
    </row>
    <row r="39" ht="28.8" spans="1:3">
      <c r="A39" s="1" t="s">
        <v>19</v>
      </c>
      <c r="B39" s="11" t="s">
        <v>21</v>
      </c>
      <c r="C39" s="11" t="s">
        <v>22</v>
      </c>
    </row>
  </sheetData>
  <mergeCells count="12">
    <mergeCell ref="A23:N23"/>
    <mergeCell ref="A2:A5"/>
    <mergeCell ref="A8:A10"/>
    <mergeCell ref="A13:A15"/>
    <mergeCell ref="A19:A21"/>
    <mergeCell ref="A27:A29"/>
    <mergeCell ref="A31:A33"/>
    <mergeCell ref="C8:C10"/>
    <mergeCell ref="C13:C15"/>
    <mergeCell ref="C19:C21"/>
    <mergeCell ref="C27:C29"/>
    <mergeCell ref="C31:C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</cp:lastModifiedBy>
  <dcterms:created xsi:type="dcterms:W3CDTF">2023-05-12T11:15:00Z</dcterms:created>
  <dcterms:modified xsi:type="dcterms:W3CDTF">2025-10-13T02:55:52Z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F63574EBCDA24DFD961C0BDDA8F1FABA_12</vt:lpwstr>
  </property>
</Properties>
</file>