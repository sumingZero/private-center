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<sst xmlns="http://schemas.openxmlformats.org/spreadsheetml/2006/main" count="153" uniqueCount="55">
  <si>
    <t>m_n_s</t>
  </si>
  <si>
    <t>m_n_b_t</t>
  </si>
  <si>
    <t>mean_ttft(ms)</t>
  </si>
  <si>
    <t>p99_ttft(ms)</t>
  </si>
  <si>
    <t>mean_tpot(ms)</t>
  </si>
  <si>
    <t>p99_tpot(ms)</t>
  </si>
  <si>
    <t>mean_e2el(ms)</t>
  </si>
  <si>
    <t>total_input_tokens</t>
  </si>
  <si>
    <t>total_output_tokens</t>
  </si>
  <si>
    <t>total_token_throughput(tok/s)</t>
  </si>
  <si>
    <t>output_throughput(tok/s)</t>
  </si>
  <si>
    <t>request_throughput(req/s)</t>
  </si>
  <si>
    <t>request_goodput(req/s)</t>
  </si>
  <si>
    <t>completed requests</t>
  </si>
  <si>
    <t>ucm+pd混合+4卡</t>
  </si>
  <si>
    <t>ucm+1p3d</t>
  </si>
  <si>
    <t>P节点总吞吐
req/s</t>
  </si>
  <si>
    <t>D节点总吞吐
req/s</t>
  </si>
  <si>
    <t>PD吞吐比</t>
  </si>
  <si>
    <t>ucm+2p2d</t>
  </si>
  <si>
    <t>ucm+3p1d</t>
  </si>
  <si>
    <t>不同数据量测试分割线</t>
  </si>
  <si>
    <t>10.13 调整max_num_seqs+max_num_batched_tokens</t>
  </si>
  <si>
    <t>3P时Prefill的ttft</t>
  </si>
  <si>
    <t>P:1
D:8</t>
  </si>
  <si>
    <t>P:65536
D:65536</t>
  </si>
  <si>
    <t>由于decode batch size太小，导致请求到达decode以后排队时间增加，从而导致ttft增加，所以1000/ttft不能算是Prefill的真正吞吐量，prefill的真正吞吐量应该是 1000/(proxy收到prefill返回的时间-请求发送时间)</t>
  </si>
  <si>
    <r>
      <rPr>
        <sz val="11"/>
        <color theme="1"/>
        <rFont val="宋体"/>
        <charset val="134"/>
        <scheme val="minor"/>
      </rPr>
      <t>为得到prefill的真实吞吐，编写脚本将测试数据的output_length设为1，起3个服务使用轮训调度进行测试，如此得到的mean_ttft才是3p1d时P实例的ttft，测得ttft为</t>
    </r>
    <r>
      <rPr>
        <sz val="11"/>
        <color rgb="FFFF0000"/>
        <rFont val="宋体"/>
        <charset val="134"/>
        <scheme val="minor"/>
      </rPr>
      <t>2406.86，实际吞吐为0.415479089</t>
    </r>
  </si>
  <si>
    <t>P:1
D:16</t>
  </si>
  <si>
    <t>P:1
D:24</t>
  </si>
  <si>
    <t>P:1
D:32</t>
  </si>
  <si>
    <t>此时P的粗略吞吐量约为0.32，与实际吞吐量0.41差距较大，这说明请求到了D实例存在排队等候现象，系统整体吞吐量被D实例拉低了</t>
  </si>
  <si>
    <t>10.14 降低Prefill的比例</t>
  </si>
  <si>
    <t>ucm+pd混合+3卡</t>
  </si>
  <si>
    <t>2P时Prefill的ttft</t>
  </si>
  <si>
    <r>
      <rPr>
        <sz val="11"/>
        <color theme="1"/>
        <rFont val="宋体"/>
        <charset val="134"/>
        <scheme val="minor"/>
      </rPr>
      <t>此时P的粗略吞吐量约为0.16，与实际吞吐量0.18差距很小，这说明请求在D实例基本不需要排队，系统整体吞吐量受P实例限制,结合3p1d来看，当前数据量和硬件资源环境下，最优PD配比介于1:1和3:1之间。</t>
    </r>
    <r>
      <rPr>
        <b/>
        <sz val="11"/>
        <color theme="4"/>
        <rFont val="宋体"/>
        <charset val="134"/>
        <scheme val="minor"/>
      </rPr>
      <t>注意到此时P的真实吞吐与3p1d mns8的D的吞吐几乎相等，接下来考虑测试2p1d mns8</t>
    </r>
  </si>
  <si>
    <t>ucm+2p1d</t>
  </si>
  <si>
    <t>此时，PD吞吐比达到了1，但系统ttft奇差，这说明请求在D实例需要排队。PD吞吐既然相等，理论上请求到达D实例应该是立即被处理而无需等待。出现这样的现象只能说明D实例吞吐量计算错误,其实际吞吐量小于P实例吞吐量。</t>
  </si>
  <si>
    <t>显然，增大D实例的mns相当于增大并发，理论上来说虽然tpot会增大，但吞吐量也应该增大才对。实际测试结果表明吞吐量确实增大了，因为系统ttft下降了，说明请求在D实例排队时间减少，这表明D实例吞吐量确实增大了，然而我们计算得到的D实例吞吐量确是下降的。计算得到的结果与实际不符，说明decode吞吐量计算公式是错的，也就是不可以使用tpot来计算decode吞吐量</t>
  </si>
  <si>
    <t>原始prefill吞吐计算公式</t>
  </si>
  <si>
    <t>1000/系统ttft</t>
  </si>
  <si>
    <t>修正后prefill吞吐计算公式</t>
  </si>
  <si>
    <t>1000/Pttft(Prefill ttft)</t>
  </si>
  <si>
    <t>原始decode吞吐计算公式</t>
  </si>
  <si>
    <t>1000/(tpot*(输出token总数/请求总数))</t>
  </si>
  <si>
    <t>修正后decode吞吐计算公式</t>
  </si>
  <si>
    <t>1000/(e2el-Pttft)</t>
  </si>
  <si>
    <t>10.14 修正decode 吞吐量计算后重测</t>
  </si>
  <si>
    <t>3p ttft</t>
  </si>
  <si>
    <t>红色为修正后的吞吐量和吞吐比</t>
  </si>
  <si>
    <t>P:1
D:6</t>
  </si>
  <si>
    <t>此时PD吞吐量一致，ttft&gt;3p1d，tpot&lt;3p1d，但此时D实例资源并没有被充分运用，为了使PD吞吐量一致，使用mns限制了D实例的batch size，就等于限制了D实例的吞吐量。理论上来说可以将D实例多余的资源拿去做prefill，这样能降低ttft，且保持tpot变化很小</t>
  </si>
  <si>
    <t>2p ttft</t>
  </si>
  <si>
    <t>结合mns为32的3p1d和2p2d测试可以发现，4卡场景下，最优PD配比介于3:1和2:2之间，例如最优比可能是2.5:1.5。这种情况下系统ttft应该介于2997与5171之间，tpot介于11.55与22.53之间。</t>
  </si>
  <si>
    <t>综上所述：4卡环境下保持PD吞吐一致+PD硬件资源均充分利用的最优PD配比应该介于3:1和2:2之间。尽管在PD比为2:2时通过调整mns可以使PD吞吐一致，但确没有充分利用D实例的硬件资源。在PD吞吐量一致+PD硬件资源均充分利用时，PD分离的tpot会显著优于PD混合，但ttft一定劣于PD混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</si>
</sst>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8" borderId="5">
      <alignment vertical="center"/>
    </xf>
    <xf numFmtId="0" fontId="14" fillId="9" borderId="6">
      <alignment vertical="center"/>
    </xf>
    <xf numFmtId="0" fontId="15" fillId="9" borderId="5">
      <alignment vertical="center"/>
    </xf>
    <xf numFmtId="0" fontId="16" fillId="10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9"/>
  <sheetViews>
    <sheetView tabSelected="1" topLeftCell="A88" workbookViewId="0">
      <selection activeCell="A106" sqref="A106:A108"/>
    </sheetView>
  </sheetViews>
  <sheetFormatPr defaultColWidth="9" defaultRowHeight="14.4"/>
  <cols>
    <col min="1" max="1" width="19.7777777777778" style="1" customWidth="1"/>
    <col min="2" max="3" width="9.44444444444444" style="1" customWidth="1"/>
    <col min="4" max="4" width="16.8888888888889" style="1" customWidth="1"/>
    <col min="5" max="5" width="15.6666666666667" style="1" customWidth="1"/>
    <col min="6" max="6" width="16.8888888888889" style="1" customWidth="1"/>
    <col min="7" max="7" width="15.6666666666667" style="1" customWidth="1"/>
    <col min="8" max="9" width="23.1111111111111" style="1" customWidth="1"/>
    <col min="10" max="10" width="24.4444444444444" style="1" customWidth="1"/>
    <col min="11" max="11" width="36.8888888888889" style="1" customWidth="1"/>
    <col min="12" max="12" width="30.6666666666667" style="1" customWidth="1"/>
    <col min="13" max="13" width="31.8888888888889" style="1" customWidth="1"/>
    <col min="14" max="14" width="28.1111111111111" style="1" customWidth="1"/>
    <col min="15" max="15" width="23.1111111111111" style="1" customWidth="1"/>
    <col min="16" max="16384" width="9" style="1"/>
  </cols>
  <sheetData>
    <row r="1" spans="2:15"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5" t="s">
        <v>14</v>
      </c>
      <c r="B2" s="1">
        <v>1024</v>
      </c>
      <c r="C2" s="6">
        <v>8192</v>
      </c>
      <c r="D2" s="6">
        <v>6439.84</v>
      </c>
      <c r="E2" s="6">
        <v>33628</v>
      </c>
      <c r="F2" s="6">
        <v>130.93</v>
      </c>
      <c r="G2" s="6">
        <v>893.98</v>
      </c>
      <c r="H2" s="6"/>
      <c r="I2" s="6">
        <v>24587692</v>
      </c>
      <c r="J2" s="6">
        <v>621356</v>
      </c>
      <c r="K2" s="6">
        <v>40242.65</v>
      </c>
      <c r="L2" s="6">
        <v>991.91</v>
      </c>
      <c r="M2" s="6">
        <v>2.8</v>
      </c>
      <c r="N2" s="6">
        <v>0.91950184686161</v>
      </c>
      <c r="O2" s="6">
        <v>1756</v>
      </c>
    </row>
    <row r="3" spans="1:15">
      <c r="A3" s="5"/>
      <c r="C3" s="5">
        <v>16000</v>
      </c>
      <c r="D3" s="6">
        <v>5089.88</v>
      </c>
      <c r="E3" s="6">
        <v>28657.15</v>
      </c>
      <c r="F3" s="6">
        <v>131.83</v>
      </c>
      <c r="G3" s="6">
        <v>1397.43</v>
      </c>
      <c r="H3" s="6"/>
      <c r="I3" s="6">
        <v>24587692</v>
      </c>
      <c r="J3" s="6">
        <v>621356</v>
      </c>
      <c r="K3" s="6">
        <v>40386.62</v>
      </c>
      <c r="L3" s="6">
        <v>995.45</v>
      </c>
      <c r="M3" s="6">
        <v>2.81</v>
      </c>
      <c r="N3" s="6">
        <v>1.09741690457695</v>
      </c>
      <c r="O3" s="6">
        <v>1756</v>
      </c>
    </row>
    <row r="4" spans="1:15">
      <c r="A4" s="5"/>
      <c r="C4" s="5">
        <v>32000</v>
      </c>
      <c r="D4" s="6">
        <v>4568.41</v>
      </c>
      <c r="E4" s="6">
        <v>26629.74</v>
      </c>
      <c r="F4" s="6">
        <v>131.83</v>
      </c>
      <c r="G4" s="6">
        <v>2015.45</v>
      </c>
      <c r="H4" s="6"/>
      <c r="I4" s="6">
        <v>24587692</v>
      </c>
      <c r="J4" s="6">
        <v>621356</v>
      </c>
      <c r="K4" s="6">
        <v>40385.35</v>
      </c>
      <c r="L4" s="6">
        <v>995.42</v>
      </c>
      <c r="M4" s="6">
        <v>2.81</v>
      </c>
      <c r="N4" s="6">
        <v>1.15345310386749</v>
      </c>
      <c r="O4" s="6">
        <v>1756</v>
      </c>
    </row>
    <row r="5" spans="1:15">
      <c r="A5" s="5"/>
      <c r="C5" s="5">
        <v>64000</v>
      </c>
      <c r="D5" s="6">
        <v>4823.45</v>
      </c>
      <c r="E5" s="6">
        <v>28018.43</v>
      </c>
      <c r="F5" s="6">
        <v>135.3</v>
      </c>
      <c r="G5" s="6">
        <v>1909</v>
      </c>
      <c r="H5" s="6"/>
      <c r="I5" s="6">
        <v>24587692</v>
      </c>
      <c r="J5" s="6">
        <v>621356</v>
      </c>
      <c r="K5" s="6">
        <v>40434.42</v>
      </c>
      <c r="L5" s="6">
        <v>996.63</v>
      </c>
      <c r="M5" s="6">
        <v>2.82</v>
      </c>
      <c r="N5" s="6">
        <v>1.14362661052427</v>
      </c>
      <c r="O5" s="6">
        <v>1756</v>
      </c>
    </row>
    <row r="6" spans="4:15"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8" spans="1:15">
      <c r="A8" s="5" t="s">
        <v>15</v>
      </c>
      <c r="B8" s="1">
        <v>1024</v>
      </c>
      <c r="C8" s="5">
        <v>8192</v>
      </c>
      <c r="D8" s="6">
        <v>567773.39</v>
      </c>
      <c r="E8" s="6">
        <v>1009308.3</v>
      </c>
      <c r="F8" s="6">
        <v>9.31</v>
      </c>
      <c r="G8" s="6">
        <v>20.58</v>
      </c>
      <c r="H8" s="6"/>
      <c r="I8" s="6">
        <v>24587692</v>
      </c>
      <c r="J8" s="6">
        <v>621356</v>
      </c>
      <c r="K8" s="6">
        <v>15430.36</v>
      </c>
      <c r="L8" s="6">
        <v>380.33</v>
      </c>
      <c r="M8" s="6">
        <v>1.07</v>
      </c>
      <c r="N8" s="6">
        <v>0.00183628888580493</v>
      </c>
      <c r="O8" s="6">
        <v>1756</v>
      </c>
    </row>
    <row r="9" ht="28.8" spans="1:15">
      <c r="A9" s="5"/>
      <c r="C9" s="5"/>
      <c r="D9" s="8" t="s">
        <v>16</v>
      </c>
      <c r="E9" s="8" t="s">
        <v>17</v>
      </c>
      <c r="F9" s="9" t="s">
        <v>18</v>
      </c>
      <c r="G9" s="5"/>
      <c r="H9" s="5"/>
      <c r="I9" s="5"/>
      <c r="J9" s="5"/>
      <c r="K9" s="5"/>
      <c r="L9" s="5"/>
      <c r="M9" s="5"/>
      <c r="N9" s="5"/>
      <c r="O9" s="5"/>
    </row>
    <row r="10" spans="1:15">
      <c r="A10" s="5"/>
      <c r="C10" s="5"/>
      <c r="D10" s="9">
        <f>1000/D8</f>
        <v>0.00176126605722047</v>
      </c>
      <c r="E10" s="9">
        <f>1000/(F8*(J8/O8))</f>
        <v>0.303552863617107</v>
      </c>
      <c r="F10" s="9">
        <f>D10/E10</f>
        <v>0.00580217243294427</v>
      </c>
      <c r="G10" s="5"/>
      <c r="H10" s="5"/>
      <c r="I10" s="5"/>
      <c r="J10" s="5"/>
      <c r="K10" s="5"/>
      <c r="L10" s="5"/>
      <c r="M10" s="5"/>
      <c r="N10" s="5"/>
      <c r="O10" s="5"/>
    </row>
    <row r="13" spans="1:15">
      <c r="A13" s="5" t="s">
        <v>19</v>
      </c>
      <c r="B13" s="1">
        <v>1024</v>
      </c>
      <c r="C13" s="5">
        <v>8192</v>
      </c>
      <c r="D13" s="6">
        <v>136149.22</v>
      </c>
      <c r="E13" s="6">
        <v>247852.07</v>
      </c>
      <c r="F13" s="6">
        <v>28.26</v>
      </c>
      <c r="G13" s="6">
        <v>110.73</v>
      </c>
      <c r="H13" s="6"/>
      <c r="I13" s="6">
        <v>24587692</v>
      </c>
      <c r="J13" s="6">
        <v>621356</v>
      </c>
      <c r="K13" s="6">
        <v>29127.39</v>
      </c>
      <c r="L13" s="6">
        <v>717.94</v>
      </c>
      <c r="M13" s="6">
        <v>2.03</v>
      </c>
      <c r="N13" s="6">
        <v>0.00577716911360174</v>
      </c>
      <c r="O13" s="6">
        <v>1756</v>
      </c>
    </row>
    <row r="14" ht="28.8" spans="1:15">
      <c r="A14" s="5"/>
      <c r="C14" s="5"/>
      <c r="D14" s="8" t="s">
        <v>16</v>
      </c>
      <c r="E14" s="8" t="s">
        <v>17</v>
      </c>
      <c r="F14" s="9" t="s">
        <v>18</v>
      </c>
      <c r="G14" s="5"/>
      <c r="H14" s="5"/>
      <c r="I14" s="5"/>
      <c r="J14" s="5"/>
      <c r="K14" s="5"/>
      <c r="L14" s="5"/>
      <c r="M14" s="5"/>
      <c r="N14" s="5"/>
      <c r="O14" s="5"/>
    </row>
    <row r="15" spans="1:15">
      <c r="A15" s="5"/>
      <c r="C15" s="5"/>
      <c r="D15" s="9">
        <f>1000/D13</f>
        <v>0.00734488232837471</v>
      </c>
      <c r="E15" s="9">
        <f>1000/(F13*(J13/O13))</f>
        <v>0.100002730370675</v>
      </c>
      <c r="F15" s="9">
        <f>D15/E15</f>
        <v>0.0734468179133692</v>
      </c>
      <c r="G15" s="5"/>
      <c r="H15" s="5"/>
      <c r="I15" s="5"/>
      <c r="J15" s="5"/>
      <c r="K15" s="5"/>
      <c r="L15" s="5"/>
      <c r="M15" s="5"/>
      <c r="N15" s="5"/>
      <c r="O15" s="5"/>
    </row>
    <row r="19" spans="1:15">
      <c r="A19" s="5" t="s">
        <v>20</v>
      </c>
      <c r="B19" s="1">
        <v>1024</v>
      </c>
      <c r="C19" s="5">
        <v>8192</v>
      </c>
      <c r="D19" s="7">
        <v>139788.02</v>
      </c>
      <c r="E19" s="7">
        <v>255843.72</v>
      </c>
      <c r="F19" s="7">
        <v>132.28</v>
      </c>
      <c r="G19" s="7">
        <v>333.51</v>
      </c>
      <c r="H19" s="7"/>
      <c r="I19" s="7">
        <v>24587692</v>
      </c>
      <c r="J19" s="7">
        <v>621356</v>
      </c>
      <c r="K19" s="7">
        <v>28349.69</v>
      </c>
      <c r="L19" s="7">
        <v>698.77</v>
      </c>
      <c r="M19" s="7">
        <v>1.97</v>
      </c>
      <c r="N19" s="7">
        <v>0.0202425098661723</v>
      </c>
      <c r="O19" s="7">
        <v>1756</v>
      </c>
    </row>
    <row r="20" ht="28.8" spans="1:15">
      <c r="A20" s="5"/>
      <c r="C20" s="5"/>
      <c r="D20" s="8" t="s">
        <v>16</v>
      </c>
      <c r="E20" s="8" t="s">
        <v>17</v>
      </c>
      <c r="F20" s="9" t="s">
        <v>18</v>
      </c>
      <c r="G20" s="5"/>
      <c r="H20" s="5"/>
      <c r="I20" s="5"/>
      <c r="J20" s="5"/>
      <c r="K20" s="5"/>
      <c r="L20" s="5"/>
      <c r="M20" s="5"/>
      <c r="N20" s="5"/>
      <c r="O20" s="5"/>
    </row>
    <row r="21" spans="1:15">
      <c r="A21" s="5"/>
      <c r="C21" s="5"/>
      <c r="D21" s="9">
        <f>1000/D19</f>
        <v>0.00715368884973119</v>
      </c>
      <c r="E21" s="9">
        <f>1000/(F19*(J19/O19))</f>
        <v>0.0213643571233389</v>
      </c>
      <c r="F21" s="9">
        <f>D21/E21</f>
        <v>0.33484222382317</v>
      </c>
      <c r="G21" s="5"/>
      <c r="H21" s="5"/>
      <c r="I21" s="5"/>
      <c r="J21" s="5"/>
      <c r="K21" s="5"/>
      <c r="L21" s="5"/>
      <c r="M21" s="5"/>
      <c r="N21" s="5"/>
      <c r="O21" s="5"/>
    </row>
    <row r="23" spans="1:15">
      <c r="A23" s="10" t="s">
        <v>21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5" spans="1:15">
      <c r="A25" s="1" t="s">
        <v>14</v>
      </c>
      <c r="B25" s="1">
        <v>1024</v>
      </c>
      <c r="C25" s="1">
        <v>32000</v>
      </c>
      <c r="D25" s="7">
        <v>1988.76</v>
      </c>
      <c r="E25" s="7">
        <v>18083.47</v>
      </c>
      <c r="F25" s="7">
        <v>25.85</v>
      </c>
      <c r="G25" s="7">
        <v>312.84</v>
      </c>
      <c r="H25" s="7"/>
      <c r="I25" s="7">
        <v>12983804</v>
      </c>
      <c r="J25" s="7">
        <v>327912</v>
      </c>
      <c r="K25" s="7">
        <v>21613.56</v>
      </c>
      <c r="L25" s="7">
        <v>532.41</v>
      </c>
      <c r="M25" s="7">
        <v>1.51</v>
      </c>
      <c r="N25" s="7">
        <v>1.11707068220968</v>
      </c>
      <c r="O25" s="7">
        <v>930</v>
      </c>
    </row>
    <row r="27" spans="1:15">
      <c r="A27" s="1" t="s">
        <v>15</v>
      </c>
      <c r="B27" s="1">
        <v>1024</v>
      </c>
      <c r="C27" s="1">
        <v>8192</v>
      </c>
      <c r="D27" s="7">
        <v>202457.64</v>
      </c>
      <c r="E27" s="7">
        <v>345533.56</v>
      </c>
      <c r="F27" s="7">
        <v>8.56</v>
      </c>
      <c r="G27" s="7">
        <v>15.05</v>
      </c>
      <c r="H27" s="7"/>
      <c r="I27" s="7">
        <v>12983804</v>
      </c>
      <c r="J27" s="7">
        <v>327912</v>
      </c>
      <c r="K27" s="7">
        <v>13963.58</v>
      </c>
      <c r="L27" s="7">
        <v>343.97</v>
      </c>
      <c r="M27" s="7">
        <v>0.98</v>
      </c>
      <c r="N27" s="7">
        <v>0.00629381595294523</v>
      </c>
      <c r="O27" s="7">
        <v>930</v>
      </c>
    </row>
    <row r="28" ht="28.8" spans="4:6">
      <c r="D28" s="8" t="s">
        <v>16</v>
      </c>
      <c r="E28" s="8" t="s">
        <v>17</v>
      </c>
      <c r="F28" s="9" t="s">
        <v>18</v>
      </c>
    </row>
    <row r="29" spans="4:6">
      <c r="D29" s="9">
        <f>1000/D27</f>
        <v>0.00493930483433473</v>
      </c>
      <c r="E29" s="9">
        <f>1000/(F27*(J27/O27))</f>
        <v>0.331323220294116</v>
      </c>
      <c r="F29" s="9">
        <f>D29/E29</f>
        <v>0.014907813674967</v>
      </c>
    </row>
    <row r="31" spans="1:15">
      <c r="A31" s="1" t="s">
        <v>19</v>
      </c>
      <c r="B31" s="1">
        <v>1024</v>
      </c>
      <c r="C31" s="1">
        <v>8192</v>
      </c>
      <c r="D31" s="7">
        <v>10707.09</v>
      </c>
      <c r="E31" s="7">
        <v>48702.22</v>
      </c>
      <c r="F31" s="7">
        <v>13.76</v>
      </c>
      <c r="G31" s="7">
        <v>41.81</v>
      </c>
      <c r="H31" s="7"/>
      <c r="I31" s="7">
        <v>12983804</v>
      </c>
      <c r="J31" s="7">
        <v>327912</v>
      </c>
      <c r="K31" s="7">
        <v>21576.02</v>
      </c>
      <c r="L31" s="7">
        <v>531.49</v>
      </c>
      <c r="M31" s="7">
        <v>1.51</v>
      </c>
      <c r="N31" s="7">
        <v>0.444107273656798</v>
      </c>
      <c r="O31" s="7">
        <v>930</v>
      </c>
    </row>
    <row r="32" ht="28.8" spans="4:6">
      <c r="D32" s="8" t="s">
        <v>16</v>
      </c>
      <c r="E32" s="8" t="s">
        <v>17</v>
      </c>
      <c r="F32" s="9" t="s">
        <v>18</v>
      </c>
    </row>
    <row r="33" spans="4:6">
      <c r="D33" s="9">
        <f>1000/D31</f>
        <v>0.0933960581259707</v>
      </c>
      <c r="E33" s="9">
        <f>1000/(F31*(J31/O31))</f>
        <v>0.206113863787619</v>
      </c>
      <c r="F33" s="9">
        <f>D33/E33</f>
        <v>0.453128462150449</v>
      </c>
    </row>
    <row r="35" spans="1:15">
      <c r="A35" s="1" t="s">
        <v>20</v>
      </c>
      <c r="B35" s="1">
        <v>1024</v>
      </c>
      <c r="C35" s="1">
        <v>8192</v>
      </c>
      <c r="D35" s="7">
        <v>4964.38</v>
      </c>
      <c r="E35" s="7">
        <v>29935.82</v>
      </c>
      <c r="F35" s="7">
        <v>49.39</v>
      </c>
      <c r="G35" s="7">
        <v>362.16</v>
      </c>
      <c r="H35" s="7"/>
      <c r="I35" s="7">
        <v>12983804</v>
      </c>
      <c r="J35" s="7">
        <v>327912</v>
      </c>
      <c r="K35" s="7">
        <v>21547.58</v>
      </c>
      <c r="L35" s="7">
        <v>530.79</v>
      </c>
      <c r="M35" s="7">
        <v>1.51</v>
      </c>
      <c r="N35" s="7">
        <v>0.681469851506916</v>
      </c>
      <c r="O35" s="7">
        <v>930</v>
      </c>
    </row>
    <row r="36" ht="28.8" spans="4:6">
      <c r="D36" s="8" t="s">
        <v>16</v>
      </c>
      <c r="E36" s="8" t="s">
        <v>17</v>
      </c>
      <c r="F36" s="9" t="s">
        <v>18</v>
      </c>
    </row>
    <row r="37" spans="4:6">
      <c r="D37" s="9">
        <f>1000/D35</f>
        <v>0.201435023104597</v>
      </c>
      <c r="E37" s="9">
        <f>1000/(F35*(J35/O35))</f>
        <v>0.05742309709896</v>
      </c>
      <c r="F37" s="9">
        <f>D37/E37</f>
        <v>3.50790941765915</v>
      </c>
    </row>
    <row r="39" spans="1:15">
      <c r="A39" s="11" t="s">
        <v>22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>
      <c r="A40" s="1" t="s">
        <v>14</v>
      </c>
      <c r="B40" s="1">
        <v>1024</v>
      </c>
      <c r="C40" s="1">
        <v>8192</v>
      </c>
      <c r="D40" s="12">
        <v>2294.66</v>
      </c>
      <c r="E40" s="12">
        <v>19254.38</v>
      </c>
      <c r="F40" s="12">
        <v>27.74</v>
      </c>
      <c r="G40" s="12">
        <v>480.69</v>
      </c>
      <c r="H40" s="12"/>
      <c r="I40" s="12">
        <v>12983804</v>
      </c>
      <c r="J40" s="12">
        <v>327912</v>
      </c>
      <c r="K40" s="12">
        <v>21602.06</v>
      </c>
      <c r="L40" s="12">
        <v>532.13</v>
      </c>
      <c r="M40" s="12">
        <v>1.51</v>
      </c>
      <c r="N40" s="12">
        <v>1.05643350148856</v>
      </c>
      <c r="O40" s="12">
        <v>930</v>
      </c>
    </row>
    <row r="41" spans="2:15">
      <c r="B41" s="1">
        <v>1024</v>
      </c>
      <c r="C41" s="1">
        <f>8192*8</f>
        <v>65536</v>
      </c>
      <c r="D41" s="12">
        <v>1984.43</v>
      </c>
      <c r="E41" s="12">
        <v>17590.76</v>
      </c>
      <c r="F41" s="12">
        <v>28.77</v>
      </c>
      <c r="G41" s="12">
        <v>392.88</v>
      </c>
      <c r="H41" s="12"/>
      <c r="I41" s="12">
        <v>12983804</v>
      </c>
      <c r="J41" s="12">
        <v>327912</v>
      </c>
      <c r="K41" s="12">
        <v>21631.4</v>
      </c>
      <c r="L41" s="12">
        <v>532.85</v>
      </c>
      <c r="M41" s="12">
        <v>1.51</v>
      </c>
      <c r="N41" s="12">
        <v>1.1098680698381</v>
      </c>
      <c r="O41" s="12">
        <v>930</v>
      </c>
    </row>
    <row r="42" spans="2:15">
      <c r="B42" s="1">
        <v>8</v>
      </c>
      <c r="C42" s="1">
        <v>65536</v>
      </c>
      <c r="D42" s="12">
        <v>2102.22</v>
      </c>
      <c r="E42" s="12">
        <v>17823.02</v>
      </c>
      <c r="F42" s="12">
        <v>20.87</v>
      </c>
      <c r="G42" s="12">
        <v>113.02</v>
      </c>
      <c r="H42" s="12"/>
      <c r="I42" s="12">
        <v>12983804</v>
      </c>
      <c r="J42" s="12">
        <v>327912</v>
      </c>
      <c r="K42" s="12">
        <v>21634.87</v>
      </c>
      <c r="L42" s="12">
        <v>532.94</v>
      </c>
      <c r="M42" s="12">
        <v>1.51</v>
      </c>
      <c r="N42" s="12">
        <v>1.08241651415057</v>
      </c>
      <c r="O42" s="12">
        <v>930</v>
      </c>
    </row>
    <row r="43" spans="1:1">
      <c r="A43" s="13" t="s">
        <v>23</v>
      </c>
    </row>
    <row r="44" spans="1:15">
      <c r="A44" s="13">
        <v>2406.86</v>
      </c>
      <c r="B44" s="14"/>
      <c r="C44" s="14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>
      <c r="A45" s="1" t="s">
        <v>20</v>
      </c>
      <c r="B45" s="14" t="s">
        <v>24</v>
      </c>
      <c r="C45" s="14" t="s">
        <v>25</v>
      </c>
      <c r="D45" s="12">
        <v>25063.93</v>
      </c>
      <c r="E45" s="12">
        <v>53547.9</v>
      </c>
      <c r="F45" s="12">
        <v>15.4</v>
      </c>
      <c r="G45" s="12">
        <v>25.86</v>
      </c>
      <c r="H45" s="12"/>
      <c r="I45" s="12">
        <v>12983804</v>
      </c>
      <c r="J45" s="12">
        <v>327912</v>
      </c>
      <c r="K45" s="12">
        <v>20024.63</v>
      </c>
      <c r="L45" s="12">
        <v>493.27</v>
      </c>
      <c r="M45" s="12">
        <v>1.4</v>
      </c>
      <c r="N45" s="12">
        <v>0.0722057226050901</v>
      </c>
      <c r="O45" s="12">
        <v>930</v>
      </c>
    </row>
    <row r="46" ht="28.8" spans="2:13">
      <c r="B46" s="14"/>
      <c r="C46" s="14"/>
      <c r="D46" s="8" t="s">
        <v>16</v>
      </c>
      <c r="E46" s="8" t="s">
        <v>17</v>
      </c>
      <c r="F46" s="9" t="s">
        <v>18</v>
      </c>
      <c r="G46" s="15" t="s">
        <v>26</v>
      </c>
      <c r="H46" s="15"/>
      <c r="I46" s="15"/>
      <c r="J46" s="15"/>
      <c r="K46" s="15"/>
      <c r="L46" s="17" t="s">
        <v>27</v>
      </c>
      <c r="M46" s="15"/>
    </row>
    <row r="47" spans="2:13">
      <c r="B47" s="14"/>
      <c r="C47" s="14"/>
      <c r="D47" s="9">
        <f>1000/D45</f>
        <v>0.0398979729036907</v>
      </c>
      <c r="E47" s="9">
        <f>1000/(F45*(J45/O45))</f>
        <v>0.18416407569595</v>
      </c>
      <c r="F47" s="9">
        <f>D47/E47</f>
        <v>0.216643624729294</v>
      </c>
      <c r="G47" s="15"/>
      <c r="H47" s="15"/>
      <c r="I47" s="15"/>
      <c r="J47" s="15"/>
      <c r="K47" s="15"/>
      <c r="L47" s="15"/>
      <c r="M47" s="15"/>
    </row>
    <row r="48" spans="4:6">
      <c r="D48" s="16">
        <f>1000/2406.86</f>
        <v>0.415479088937454</v>
      </c>
      <c r="F48" s="1">
        <f>D48/E47</f>
        <v>2.25602679223606</v>
      </c>
    </row>
    <row r="49" customHeight="1" spans="2:15">
      <c r="B49" s="14"/>
      <c r="C49" s="1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customHeight="1" spans="1:15">
      <c r="A50" s="1" t="s">
        <v>20</v>
      </c>
      <c r="B50" s="14" t="s">
        <v>28</v>
      </c>
      <c r="C50" s="14" t="s">
        <v>25</v>
      </c>
      <c r="D50" s="7">
        <v>4217.42</v>
      </c>
      <c r="E50" s="7">
        <v>26359.54</v>
      </c>
      <c r="F50" s="7">
        <v>20.7</v>
      </c>
      <c r="G50" s="7">
        <v>35.11</v>
      </c>
      <c r="H50" s="7"/>
      <c r="I50" s="7">
        <v>12983804</v>
      </c>
      <c r="J50" s="7">
        <v>327912</v>
      </c>
      <c r="K50" s="7">
        <v>21564.38</v>
      </c>
      <c r="L50" s="7">
        <v>531.2</v>
      </c>
      <c r="M50" s="7">
        <v>1.51</v>
      </c>
      <c r="N50" s="7">
        <v>0.677141139314828</v>
      </c>
      <c r="O50" s="7">
        <v>930</v>
      </c>
    </row>
    <row r="51" ht="28.8" spans="2:6">
      <c r="B51" s="14"/>
      <c r="C51" s="14"/>
      <c r="D51" s="8" t="s">
        <v>16</v>
      </c>
      <c r="E51" s="8" t="s">
        <v>17</v>
      </c>
      <c r="F51" s="9" t="s">
        <v>18</v>
      </c>
    </row>
    <row r="52" spans="2:6">
      <c r="B52" s="14"/>
      <c r="C52" s="14"/>
      <c r="D52" s="9">
        <f>1000/D50</f>
        <v>0.237111788723912</v>
      </c>
      <c r="E52" s="9">
        <f>1000/(F50*(J50/O50))</f>
        <v>0.137010954865586</v>
      </c>
      <c r="F52" s="9">
        <f>D52/E52</f>
        <v>1.73060459987692</v>
      </c>
    </row>
    <row r="53" customHeight="1" spans="2:15">
      <c r="B53" s="14"/>
      <c r="C53" s="14"/>
      <c r="D53" s="16">
        <f>1000/2406.86</f>
        <v>0.415479088937454</v>
      </c>
      <c r="F53" s="1">
        <f>D53/E52</f>
        <v>3.03245159735627</v>
      </c>
      <c r="G53" s="7"/>
      <c r="H53" s="7"/>
      <c r="I53" s="7"/>
      <c r="J53" s="7"/>
      <c r="K53" s="7"/>
      <c r="L53" s="7"/>
      <c r="M53" s="7"/>
      <c r="N53" s="7"/>
      <c r="O53" s="7"/>
    </row>
    <row r="54" spans="2:15">
      <c r="B54" s="14"/>
      <c r="C54" s="14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>
      <c r="A55" s="1" t="s">
        <v>20</v>
      </c>
      <c r="B55" s="14" t="s">
        <v>29</v>
      </c>
      <c r="C55" s="14" t="s">
        <v>25</v>
      </c>
      <c r="D55" s="12">
        <v>3198.66</v>
      </c>
      <c r="E55" s="12">
        <v>20183.31</v>
      </c>
      <c r="F55" s="12">
        <v>22.08</v>
      </c>
      <c r="G55" s="12">
        <v>43.14</v>
      </c>
      <c r="H55" s="12"/>
      <c r="I55" s="12">
        <v>12964542</v>
      </c>
      <c r="J55" s="12">
        <v>327564</v>
      </c>
      <c r="K55" s="12">
        <v>21542.92</v>
      </c>
      <c r="L55" s="12">
        <v>530.89</v>
      </c>
      <c r="M55" s="12">
        <v>1.51</v>
      </c>
      <c r="N55" s="12">
        <v>0.914092038961205</v>
      </c>
      <c r="O55" s="12">
        <v>929</v>
      </c>
    </row>
    <row r="56" ht="28.8" spans="2:6">
      <c r="B56" s="14"/>
      <c r="C56" s="14"/>
      <c r="D56" s="8" t="s">
        <v>16</v>
      </c>
      <c r="E56" s="8" t="s">
        <v>17</v>
      </c>
      <c r="F56" s="9" t="s">
        <v>18</v>
      </c>
    </row>
    <row r="57" spans="2:6">
      <c r="B57" s="14"/>
      <c r="C57" s="14"/>
      <c r="D57" s="9">
        <f>1000/D55</f>
        <v>0.312630914195319</v>
      </c>
      <c r="E57" s="9">
        <f>1000/(F55*(J55/O55))</f>
        <v>0.128445968916971</v>
      </c>
      <c r="F57" s="9">
        <f>D57/E57</f>
        <v>2.43394881778973</v>
      </c>
    </row>
    <row r="58" spans="4:6">
      <c r="D58" s="16">
        <f>1000/2406.86</f>
        <v>0.415479088937454</v>
      </c>
      <c r="F58" s="1">
        <f>D58/E57</f>
        <v>3.23466039799211</v>
      </c>
    </row>
    <row r="59" spans="2:15">
      <c r="B59" s="14"/>
      <c r="C59" s="1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>
      <c r="A60" s="1" t="s">
        <v>20</v>
      </c>
      <c r="B60" s="14" t="s">
        <v>30</v>
      </c>
      <c r="C60" s="14" t="s">
        <v>25</v>
      </c>
      <c r="D60" s="12">
        <v>3068.69</v>
      </c>
      <c r="E60" s="12">
        <v>20293.83</v>
      </c>
      <c r="F60" s="12">
        <v>23.18</v>
      </c>
      <c r="G60" s="12">
        <v>68.04</v>
      </c>
      <c r="H60" s="12"/>
      <c r="I60" s="12">
        <v>12983804</v>
      </c>
      <c r="J60" s="12">
        <v>327912</v>
      </c>
      <c r="K60" s="12">
        <v>21574.83</v>
      </c>
      <c r="L60" s="12">
        <v>531.46</v>
      </c>
      <c r="M60" s="12">
        <v>1.51</v>
      </c>
      <c r="N60" s="12">
        <v>0.957857507135872</v>
      </c>
      <c r="O60" s="12">
        <v>930</v>
      </c>
    </row>
    <row r="61" ht="28.8" spans="2:10">
      <c r="B61" s="14"/>
      <c r="C61" s="14"/>
      <c r="D61" s="8" t="s">
        <v>16</v>
      </c>
      <c r="E61" s="8" t="s">
        <v>17</v>
      </c>
      <c r="F61" s="9" t="s">
        <v>18</v>
      </c>
      <c r="G61" s="15" t="s">
        <v>31</v>
      </c>
      <c r="H61" s="15"/>
      <c r="I61" s="15"/>
      <c r="J61" s="15"/>
    </row>
    <row r="62" spans="2:10">
      <c r="B62" s="14"/>
      <c r="C62" s="14"/>
      <c r="D62" s="9">
        <f>1000/D60</f>
        <v>0.32587195187523</v>
      </c>
      <c r="E62" s="9">
        <f>1000/(F60*(J60/O60))</f>
        <v>0.122352319487387</v>
      </c>
      <c r="F62" s="9">
        <f>D62/E62</f>
        <v>2.66339006273456</v>
      </c>
      <c r="G62" s="15"/>
      <c r="H62" s="15"/>
      <c r="I62" s="15"/>
      <c r="J62" s="15"/>
    </row>
    <row r="63" spans="4:6">
      <c r="D63" s="16">
        <f>1000/2406.86</f>
        <v>0.415479088937454</v>
      </c>
      <c r="F63" s="1">
        <f>D63/E62</f>
        <v>3.39575980805402</v>
      </c>
    </row>
    <row r="65" spans="1:15">
      <c r="A65" s="11" t="s">
        <v>32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>
      <c r="A66" s="1" t="s">
        <v>14</v>
      </c>
      <c r="B66" s="1">
        <v>1024</v>
      </c>
      <c r="C66" s="1">
        <v>8192</v>
      </c>
      <c r="D66" s="12">
        <v>2294.66</v>
      </c>
      <c r="E66" s="12">
        <v>19254.38</v>
      </c>
      <c r="F66" s="12">
        <v>27.74</v>
      </c>
      <c r="G66" s="12">
        <v>480.69</v>
      </c>
      <c r="H66" s="12"/>
      <c r="I66" s="12">
        <v>12983804</v>
      </c>
      <c r="J66" s="12">
        <v>327912</v>
      </c>
      <c r="K66" s="12">
        <v>21602.06</v>
      </c>
      <c r="L66" s="12">
        <v>532.13</v>
      </c>
      <c r="M66" s="12">
        <v>1.51</v>
      </c>
      <c r="N66" s="12">
        <v>1.05643350148856</v>
      </c>
      <c r="O66" s="12">
        <v>930</v>
      </c>
    </row>
    <row r="67" spans="2:15">
      <c r="B67" s="1">
        <v>1024</v>
      </c>
      <c r="C67" s="1">
        <f>8192*8</f>
        <v>65536</v>
      </c>
      <c r="D67" s="12">
        <v>1984.43</v>
      </c>
      <c r="E67" s="12">
        <v>17590.76</v>
      </c>
      <c r="F67" s="12">
        <v>28.77</v>
      </c>
      <c r="G67" s="12">
        <v>392.88</v>
      </c>
      <c r="H67" s="12"/>
      <c r="I67" s="12">
        <v>12983804</v>
      </c>
      <c r="J67" s="12">
        <v>327912</v>
      </c>
      <c r="K67" s="12">
        <v>21631.4</v>
      </c>
      <c r="L67" s="12">
        <v>532.85</v>
      </c>
      <c r="M67" s="12">
        <v>1.51</v>
      </c>
      <c r="N67" s="12">
        <v>1.1098680698381</v>
      </c>
      <c r="O67" s="12">
        <v>930</v>
      </c>
    </row>
    <row r="68" spans="2:15">
      <c r="B68" s="1">
        <v>8</v>
      </c>
      <c r="C68" s="1">
        <v>65536</v>
      </c>
      <c r="D68" s="12">
        <v>2102.22</v>
      </c>
      <c r="E68" s="12">
        <v>17823.02</v>
      </c>
      <c r="F68" s="12">
        <v>20.87</v>
      </c>
      <c r="G68" s="12">
        <v>113.02</v>
      </c>
      <c r="H68" s="12"/>
      <c r="I68" s="12">
        <v>12983804</v>
      </c>
      <c r="J68" s="12">
        <v>327912</v>
      </c>
      <c r="K68" s="12">
        <v>21634.87</v>
      </c>
      <c r="L68" s="12">
        <v>532.94</v>
      </c>
      <c r="M68" s="12">
        <v>1.51</v>
      </c>
      <c r="N68" s="12">
        <v>1.08241651415057</v>
      </c>
      <c r="O68" s="12">
        <v>930</v>
      </c>
    </row>
    <row r="69" spans="1:15">
      <c r="A69" s="7" t="s">
        <v>33</v>
      </c>
      <c r="B69" s="1">
        <v>1024</v>
      </c>
      <c r="C69" s="1">
        <v>65536</v>
      </c>
      <c r="D69" s="12">
        <v>2719.7</v>
      </c>
      <c r="E69" s="12">
        <v>18605.9</v>
      </c>
      <c r="F69" s="12">
        <v>57.2</v>
      </c>
      <c r="G69" s="12">
        <v>737.95</v>
      </c>
      <c r="H69" s="12"/>
      <c r="I69" s="12">
        <v>12983804</v>
      </c>
      <c r="J69" s="12">
        <v>327912</v>
      </c>
      <c r="K69" s="12">
        <v>21577.12</v>
      </c>
      <c r="L69" s="12">
        <v>531.52</v>
      </c>
      <c r="M69" s="12">
        <v>1.51</v>
      </c>
      <c r="N69" s="12">
        <v>0.914194437055266</v>
      </c>
      <c r="O69" s="12">
        <v>930</v>
      </c>
    </row>
    <row r="70" spans="1:1">
      <c r="A70" s="13"/>
    </row>
    <row r="71" spans="1:1">
      <c r="A71" s="13"/>
    </row>
    <row r="72" spans="1:1">
      <c r="A72" s="13" t="s">
        <v>34</v>
      </c>
    </row>
    <row r="73" spans="1:1">
      <c r="A73" s="13">
        <v>5011.11</v>
      </c>
    </row>
    <row r="74" spans="1:15">
      <c r="A74" s="1" t="s">
        <v>19</v>
      </c>
      <c r="B74" s="14" t="s">
        <v>30</v>
      </c>
      <c r="C74" s="14" t="s">
        <v>25</v>
      </c>
      <c r="D74" s="12">
        <v>6182.51</v>
      </c>
      <c r="E74" s="12">
        <v>38166.81</v>
      </c>
      <c r="F74" s="12">
        <v>11.49</v>
      </c>
      <c r="G74" s="12">
        <v>21.68</v>
      </c>
      <c r="H74" s="12"/>
      <c r="I74" s="12">
        <v>12983804</v>
      </c>
      <c r="J74" s="12">
        <v>327912</v>
      </c>
      <c r="K74" s="12">
        <v>21591.22</v>
      </c>
      <c r="L74" s="12">
        <v>531.86</v>
      </c>
      <c r="M74" s="12">
        <v>1.51</v>
      </c>
      <c r="N74" s="12">
        <v>0.653654251339341</v>
      </c>
      <c r="O74" s="12">
        <v>930</v>
      </c>
    </row>
    <row r="75" ht="28.8" spans="2:11">
      <c r="B75" s="14"/>
      <c r="C75" s="14"/>
      <c r="D75" s="8" t="s">
        <v>16</v>
      </c>
      <c r="E75" s="8" t="s">
        <v>17</v>
      </c>
      <c r="F75" s="9" t="s">
        <v>18</v>
      </c>
      <c r="G75" s="17" t="s">
        <v>35</v>
      </c>
      <c r="H75" s="15"/>
      <c r="I75" s="15"/>
      <c r="J75" s="15"/>
      <c r="K75" s="15"/>
    </row>
    <row r="76" spans="2:11">
      <c r="B76" s="14"/>
      <c r="C76" s="14"/>
      <c r="D76" s="9">
        <f>1000/D74</f>
        <v>0.161746604534404</v>
      </c>
      <c r="E76" s="9">
        <f>1000/(F74*(J74/O74))</f>
        <v>0.246834357329646</v>
      </c>
      <c r="F76" s="9">
        <f>D76/E76</f>
        <v>0.655283998079703</v>
      </c>
      <c r="G76" s="15"/>
      <c r="H76" s="15"/>
      <c r="I76" s="15"/>
      <c r="J76" s="15"/>
      <c r="K76" s="15"/>
    </row>
    <row r="77" spans="4:6">
      <c r="D77" s="18">
        <f>1000/A73</f>
        <v>0.199556585267536</v>
      </c>
      <c r="F77" s="1">
        <f>D77/E76</f>
        <v>0.80846356814513</v>
      </c>
    </row>
    <row r="79" spans="1:15">
      <c r="A79" s="1" t="s">
        <v>36</v>
      </c>
      <c r="B79" s="14" t="s">
        <v>24</v>
      </c>
      <c r="C79" s="14" t="s">
        <v>25</v>
      </c>
      <c r="D79" s="12">
        <v>26666.1</v>
      </c>
      <c r="E79" s="12">
        <v>54996.51</v>
      </c>
      <c r="F79" s="12">
        <v>15.49</v>
      </c>
      <c r="G79" s="12">
        <v>25.5</v>
      </c>
      <c r="H79" s="12"/>
      <c r="I79" s="12">
        <v>12983804</v>
      </c>
      <c r="J79" s="12">
        <v>327912</v>
      </c>
      <c r="K79" s="12">
        <v>19955.83</v>
      </c>
      <c r="L79" s="12">
        <v>491.58</v>
      </c>
      <c r="M79" s="12">
        <v>1.39</v>
      </c>
      <c r="N79" s="12">
        <v>0.0539682473871898</v>
      </c>
      <c r="O79" s="12">
        <v>930</v>
      </c>
    </row>
    <row r="80" ht="28.8" spans="2:11">
      <c r="B80" s="14"/>
      <c r="C80" s="14"/>
      <c r="D80" s="8" t="s">
        <v>16</v>
      </c>
      <c r="E80" s="8" t="s">
        <v>17</v>
      </c>
      <c r="F80" s="9" t="s">
        <v>18</v>
      </c>
      <c r="G80" s="15" t="s">
        <v>37</v>
      </c>
      <c r="H80" s="15"/>
      <c r="I80" s="15"/>
      <c r="J80" s="15"/>
      <c r="K80" s="15"/>
    </row>
    <row r="81" spans="2:11">
      <c r="B81" s="14"/>
      <c r="C81" s="14"/>
      <c r="D81" s="9">
        <f>1000/D79</f>
        <v>0.037500796891934</v>
      </c>
      <c r="E81" s="9">
        <f>1000/(F79*(J79/O79))</f>
        <v>0.183094045559563</v>
      </c>
      <c r="F81" s="9">
        <f>D81/E81</f>
        <v>0.204817129783363</v>
      </c>
      <c r="G81" s="15"/>
      <c r="H81" s="15"/>
      <c r="I81" s="15"/>
      <c r="J81" s="15"/>
      <c r="K81" s="15"/>
    </row>
    <row r="82" spans="4:6">
      <c r="D82" s="18">
        <f>1000/5011.11</f>
        <v>0.199556585267536</v>
      </c>
      <c r="F82" s="1">
        <f>D82/E81</f>
        <v>1.0899130261591</v>
      </c>
    </row>
    <row r="84" spans="4:15">
      <c r="D84" s="12">
        <v>6934.16</v>
      </c>
      <c r="E84" s="12">
        <v>37865.65</v>
      </c>
      <c r="F84" s="12">
        <v>22.7</v>
      </c>
      <c r="G84" s="12">
        <v>44.62</v>
      </c>
      <c r="H84" s="12"/>
      <c r="I84" s="12">
        <v>12895546</v>
      </c>
      <c r="J84" s="12">
        <v>327670</v>
      </c>
      <c r="K84" s="12">
        <v>21420</v>
      </c>
      <c r="L84" s="12">
        <v>530.79</v>
      </c>
      <c r="M84" s="12">
        <v>1.5</v>
      </c>
      <c r="N84" s="12">
        <v>0.620413301490168</v>
      </c>
      <c r="O84" s="12">
        <v>929</v>
      </c>
    </row>
    <row r="85" ht="28.8" spans="1:11">
      <c r="A85" s="1" t="s">
        <v>36</v>
      </c>
      <c r="B85" s="14" t="s">
        <v>30</v>
      </c>
      <c r="C85" s="14" t="s">
        <v>25</v>
      </c>
      <c r="D85" s="8" t="s">
        <v>16</v>
      </c>
      <c r="E85" s="8" t="s">
        <v>17</v>
      </c>
      <c r="F85" s="9" t="s">
        <v>18</v>
      </c>
      <c r="G85" s="15" t="s">
        <v>38</v>
      </c>
      <c r="H85" s="15"/>
      <c r="I85" s="15"/>
      <c r="J85" s="15"/>
      <c r="K85" s="15"/>
    </row>
    <row r="86" spans="2:11">
      <c r="B86" s="14"/>
      <c r="C86" s="14"/>
      <c r="D86" s="9">
        <f>1000/D84</f>
        <v>0.144213574535344</v>
      </c>
      <c r="E86" s="9">
        <f>1000/(F84*(J84/O84))</f>
        <v>0.124897336137451</v>
      </c>
      <c r="F86" s="9">
        <f>D86/E86</f>
        <v>1.15465692860443</v>
      </c>
      <c r="G86" s="15"/>
      <c r="H86" s="15"/>
      <c r="I86" s="15"/>
      <c r="J86" s="15"/>
      <c r="K86" s="15"/>
    </row>
    <row r="87" spans="2:6">
      <c r="B87" s="14"/>
      <c r="C87" s="14"/>
      <c r="D87" s="18">
        <f>1000/5011.11</f>
        <v>0.199556585267536</v>
      </c>
      <c r="F87" s="1">
        <f>D87/E86</f>
        <v>1.59776494390498</v>
      </c>
    </row>
    <row r="89" spans="1:5">
      <c r="A89" s="19" t="s">
        <v>39</v>
      </c>
      <c r="B89" s="19"/>
      <c r="C89" s="19" t="s">
        <v>40</v>
      </c>
      <c r="D89" s="19"/>
      <c r="E89" s="19"/>
    </row>
    <row r="90" spans="1:5">
      <c r="A90" s="19" t="s">
        <v>41</v>
      </c>
      <c r="B90" s="19"/>
      <c r="C90" s="19" t="s">
        <v>42</v>
      </c>
      <c r="D90" s="19"/>
      <c r="E90" s="19"/>
    </row>
    <row r="91" spans="1:5">
      <c r="A91" s="19" t="s">
        <v>43</v>
      </c>
      <c r="B91" s="19"/>
      <c r="C91" s="19" t="s">
        <v>44</v>
      </c>
      <c r="D91" s="19"/>
      <c r="E91" s="19"/>
    </row>
    <row r="92" spans="1:5">
      <c r="A92" s="19" t="s">
        <v>45</v>
      </c>
      <c r="B92" s="19"/>
      <c r="C92" s="19" t="s">
        <v>46</v>
      </c>
      <c r="D92" s="19"/>
      <c r="E92" s="19"/>
    </row>
    <row r="94" spans="1:15">
      <c r="A94" s="11" t="s">
        <v>47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>
      <c r="A95" s="1" t="s">
        <v>14</v>
      </c>
      <c r="B95" s="1">
        <v>1024</v>
      </c>
      <c r="C95" s="1">
        <v>8192</v>
      </c>
      <c r="D95" s="12">
        <v>2294.66</v>
      </c>
      <c r="E95" s="12">
        <v>19254.38</v>
      </c>
      <c r="F95" s="12">
        <v>27.74</v>
      </c>
      <c r="G95" s="12">
        <v>480.69</v>
      </c>
      <c r="H95" s="12"/>
      <c r="I95" s="12">
        <v>12983804</v>
      </c>
      <c r="J95" s="12">
        <v>327912</v>
      </c>
      <c r="K95" s="12">
        <v>21602.06</v>
      </c>
      <c r="L95" s="12">
        <v>532.13</v>
      </c>
      <c r="M95" s="12">
        <v>1.51</v>
      </c>
      <c r="N95" s="12">
        <v>1.05643350148856</v>
      </c>
      <c r="O95" s="12">
        <v>930</v>
      </c>
    </row>
    <row r="96" spans="2:15">
      <c r="B96" s="1">
        <v>1024</v>
      </c>
      <c r="C96" s="1">
        <f>8192*8</f>
        <v>65536</v>
      </c>
      <c r="D96" s="12">
        <v>1984.43</v>
      </c>
      <c r="E96" s="12">
        <v>17590.76</v>
      </c>
      <c r="F96" s="12">
        <v>28.77</v>
      </c>
      <c r="G96" s="12">
        <v>392.88</v>
      </c>
      <c r="H96" s="12"/>
      <c r="I96" s="12">
        <v>12983804</v>
      </c>
      <c r="J96" s="12">
        <v>327912</v>
      </c>
      <c r="K96" s="12">
        <v>21631.4</v>
      </c>
      <c r="L96" s="12">
        <v>532.85</v>
      </c>
      <c r="M96" s="12">
        <v>1.51</v>
      </c>
      <c r="N96" s="12">
        <v>1.1098680698381</v>
      </c>
      <c r="O96" s="12">
        <v>930</v>
      </c>
    </row>
    <row r="97" spans="2:15">
      <c r="B97" s="1">
        <v>8</v>
      </c>
      <c r="C97" s="1">
        <v>65536</v>
      </c>
      <c r="D97" s="12">
        <v>2102.22</v>
      </c>
      <c r="E97" s="12">
        <v>17823.02</v>
      </c>
      <c r="F97" s="12">
        <v>20.87</v>
      </c>
      <c r="G97" s="12">
        <v>113.02</v>
      </c>
      <c r="H97" s="12"/>
      <c r="I97" s="12">
        <v>12983804</v>
      </c>
      <c r="J97" s="12">
        <v>327912</v>
      </c>
      <c r="K97" s="12">
        <v>21634.87</v>
      </c>
      <c r="L97" s="12">
        <v>532.94</v>
      </c>
      <c r="M97" s="12">
        <v>1.51</v>
      </c>
      <c r="N97" s="12">
        <v>1.08241651415057</v>
      </c>
      <c r="O97" s="12">
        <v>930</v>
      </c>
    </row>
    <row r="98" spans="1:15">
      <c r="A98" s="7" t="s">
        <v>33</v>
      </c>
      <c r="B98" s="1">
        <v>1024</v>
      </c>
      <c r="C98" s="1">
        <v>65536</v>
      </c>
      <c r="D98" s="12">
        <v>2719.7</v>
      </c>
      <c r="E98" s="12">
        <v>18605.9</v>
      </c>
      <c r="F98" s="12">
        <v>57.2</v>
      </c>
      <c r="G98" s="12">
        <v>737.95</v>
      </c>
      <c r="H98" s="12"/>
      <c r="I98" s="12">
        <v>12983804</v>
      </c>
      <c r="J98" s="12">
        <v>327912</v>
      </c>
      <c r="K98" s="12">
        <v>21577.12</v>
      </c>
      <c r="L98" s="12">
        <v>531.52</v>
      </c>
      <c r="M98" s="12">
        <v>1.51</v>
      </c>
      <c r="N98" s="12">
        <v>0.914194437055266</v>
      </c>
      <c r="O98" s="12">
        <v>930</v>
      </c>
    </row>
    <row r="101" spans="1:15">
      <c r="A101" s="20" t="s">
        <v>20</v>
      </c>
      <c r="B101" s="14" t="s">
        <v>24</v>
      </c>
      <c r="C101" s="14" t="s">
        <v>25</v>
      </c>
      <c r="D101" s="12">
        <v>31533.7</v>
      </c>
      <c r="E101" s="12">
        <v>64561.66</v>
      </c>
      <c r="F101" s="12">
        <v>15.67</v>
      </c>
      <c r="G101" s="12">
        <v>25.72</v>
      </c>
      <c r="H101" s="12">
        <v>37081.6</v>
      </c>
      <c r="I101" s="12">
        <v>12983804</v>
      </c>
      <c r="J101" s="12">
        <v>327912</v>
      </c>
      <c r="K101" s="12">
        <v>19684.67</v>
      </c>
      <c r="L101" s="12">
        <v>484.9</v>
      </c>
      <c r="M101" s="12">
        <v>1.38</v>
      </c>
      <c r="N101" s="12">
        <v>0.0547136793366157</v>
      </c>
      <c r="O101" s="12">
        <v>930</v>
      </c>
    </row>
    <row r="102" ht="28.8" spans="1:6">
      <c r="A102" s="20"/>
      <c r="B102" s="14"/>
      <c r="C102" s="14"/>
      <c r="D102" s="8" t="s">
        <v>16</v>
      </c>
      <c r="E102" s="8" t="s">
        <v>17</v>
      </c>
      <c r="F102" s="9" t="s">
        <v>18</v>
      </c>
    </row>
    <row r="103" spans="1:6">
      <c r="A103" s="20"/>
      <c r="B103" s="14"/>
      <c r="C103" s="14"/>
      <c r="D103" s="9">
        <f>1000/D101</f>
        <v>0.0317121048275337</v>
      </c>
      <c r="E103" s="9">
        <f>1000/(F101*(J101/O101))</f>
        <v>0.180990859331055</v>
      </c>
      <c r="F103" s="9">
        <f t="shared" ref="F103:F109" si="0">D103/E103</f>
        <v>0.175213847509991</v>
      </c>
    </row>
    <row r="104" spans="2:9">
      <c r="B104" s="1" t="s">
        <v>48</v>
      </c>
      <c r="C104" s="13">
        <v>2406.86</v>
      </c>
      <c r="D104" s="16">
        <f>1000/C104</f>
        <v>0.415479088937454</v>
      </c>
      <c r="E104" s="16">
        <f>1000/(H101-C104)</f>
        <v>0.028839437584824</v>
      </c>
      <c r="F104" s="16">
        <f t="shared" si="0"/>
        <v>14.4066293843431</v>
      </c>
      <c r="G104" s="1" t="s">
        <v>49</v>
      </c>
      <c r="I104"/>
    </row>
    <row r="106" spans="1:15">
      <c r="A106" s="20" t="s">
        <v>20</v>
      </c>
      <c r="B106" s="14" t="s">
        <v>30</v>
      </c>
      <c r="C106" s="14" t="s">
        <v>25</v>
      </c>
      <c r="D106" s="12">
        <v>2997.71</v>
      </c>
      <c r="E106" s="12">
        <v>20245.37</v>
      </c>
      <c r="F106" s="12">
        <v>22.53</v>
      </c>
      <c r="G106" s="12">
        <v>56.07</v>
      </c>
      <c r="H106" s="12">
        <v>10387.24</v>
      </c>
      <c r="I106" s="12">
        <v>12983804</v>
      </c>
      <c r="J106" s="12">
        <v>327912</v>
      </c>
      <c r="K106" s="12">
        <v>21565.99</v>
      </c>
      <c r="L106" s="12">
        <v>531.24</v>
      </c>
      <c r="M106" s="12">
        <v>1.51</v>
      </c>
      <c r="N106" s="12">
        <v>0.968805447731432</v>
      </c>
      <c r="O106" s="12">
        <v>930</v>
      </c>
    </row>
    <row r="107" ht="28.8" spans="1:10">
      <c r="A107" s="20"/>
      <c r="B107" s="14"/>
      <c r="C107" s="14"/>
      <c r="D107" s="8" t="s">
        <v>16</v>
      </c>
      <c r="E107" s="8" t="s">
        <v>17</v>
      </c>
      <c r="F107" s="9" t="s">
        <v>18</v>
      </c>
      <c r="G107" s="21"/>
      <c r="H107" s="21"/>
      <c r="I107" s="21"/>
      <c r="J107" s="21"/>
    </row>
    <row r="108" spans="1:10">
      <c r="A108" s="20"/>
      <c r="B108" s="14"/>
      <c r="C108" s="14"/>
      <c r="D108" s="9">
        <f>1000/D106</f>
        <v>0.333587972152076</v>
      </c>
      <c r="E108" s="9">
        <f>1000/(F106*(J106/O106))</f>
        <v>0.125882235495678</v>
      </c>
      <c r="F108" s="9">
        <f t="shared" si="0"/>
        <v>2.65000038201204</v>
      </c>
      <c r="G108" s="21"/>
      <c r="H108" s="21"/>
      <c r="I108" s="21"/>
      <c r="J108" s="21"/>
    </row>
    <row r="109" spans="2:10">
      <c r="B109" s="1" t="s">
        <v>48</v>
      </c>
      <c r="C109" s="13">
        <v>2406.86</v>
      </c>
      <c r="D109" s="16">
        <f>1000/C109</f>
        <v>0.415479088937454</v>
      </c>
      <c r="E109" s="16">
        <f>1000/(H106-C109)</f>
        <v>0.125307316192963</v>
      </c>
      <c r="F109" s="16">
        <f t="shared" si="0"/>
        <v>3.31568101177468</v>
      </c>
      <c r="G109" s="21"/>
      <c r="H109" s="21"/>
      <c r="I109" s="21"/>
      <c r="J109" s="21"/>
    </row>
    <row r="110" spans="3:10">
      <c r="C110" s="13"/>
      <c r="D110" s="16"/>
      <c r="E110" s="16"/>
      <c r="F110" s="16"/>
      <c r="G110" s="21"/>
      <c r="H110" s="21"/>
      <c r="I110" s="21"/>
      <c r="J110" s="21"/>
    </row>
    <row r="111" spans="1:15">
      <c r="A111" s="10" t="s">
        <v>19</v>
      </c>
      <c r="B111" s="14" t="s">
        <v>50</v>
      </c>
      <c r="C111" s="14" t="s">
        <v>25</v>
      </c>
      <c r="D111" s="22">
        <v>5919.88</v>
      </c>
      <c r="E111" s="22">
        <v>25782.73</v>
      </c>
      <c r="F111" s="22">
        <v>11.04</v>
      </c>
      <c r="G111" s="23">
        <v>17.17</v>
      </c>
      <c r="H111" s="23">
        <v>9777.62</v>
      </c>
      <c r="I111" s="23">
        <v>12983804</v>
      </c>
      <c r="J111" s="23">
        <v>327912</v>
      </c>
      <c r="K111" s="25">
        <v>21621.01</v>
      </c>
      <c r="L111" s="25">
        <v>532.6</v>
      </c>
      <c r="M111" s="25">
        <v>1.51</v>
      </c>
      <c r="N111" s="25">
        <v>0.61</v>
      </c>
      <c r="O111" s="25">
        <v>930</v>
      </c>
    </row>
    <row r="112" ht="28.8" spans="1:15">
      <c r="A112" s="10"/>
      <c r="B112" s="14"/>
      <c r="C112" s="14"/>
      <c r="D112" s="8" t="s">
        <v>16</v>
      </c>
      <c r="E112" s="8" t="s">
        <v>17</v>
      </c>
      <c r="F112" s="9" t="s">
        <v>18</v>
      </c>
      <c r="G112" s="24" t="s">
        <v>51</v>
      </c>
      <c r="H112" s="24"/>
      <c r="I112" s="24"/>
      <c r="J112" s="24"/>
      <c r="K112" s="25"/>
      <c r="L112" s="25"/>
      <c r="M112" s="25"/>
      <c r="N112" s="25"/>
      <c r="O112" s="25"/>
    </row>
    <row r="113" spans="1:15">
      <c r="A113" s="10"/>
      <c r="B113" s="14"/>
      <c r="C113" s="14"/>
      <c r="D113" s="9">
        <f>1000/D111</f>
        <v>0.168922343020467</v>
      </c>
      <c r="E113" s="9">
        <f>1000/(F111*(J111/O111))</f>
        <v>0.256895540372974</v>
      </c>
      <c r="F113" s="9">
        <f>D113/E113</f>
        <v>0.657552648735033</v>
      </c>
      <c r="G113" s="24"/>
      <c r="H113" s="24"/>
      <c r="I113" s="24"/>
      <c r="J113" s="24"/>
      <c r="K113" s="25"/>
      <c r="L113" s="25"/>
      <c r="M113" s="25"/>
      <c r="N113" s="25"/>
      <c r="O113" s="25"/>
    </row>
    <row r="114" spans="2:15">
      <c r="B114" s="1" t="s">
        <v>52</v>
      </c>
      <c r="C114" s="13">
        <v>5011.11</v>
      </c>
      <c r="D114" s="16">
        <f>1000/C114</f>
        <v>0.199556585267536</v>
      </c>
      <c r="E114" s="16">
        <f>1000/(H111-C114)</f>
        <v>0.209797105219542</v>
      </c>
      <c r="F114" s="16">
        <f>D114/E114</f>
        <v>0.951188459243561</v>
      </c>
      <c r="G114" s="23"/>
      <c r="H114" s="23"/>
      <c r="I114" s="23"/>
      <c r="J114" s="23"/>
      <c r="K114" s="25"/>
      <c r="L114" s="25"/>
      <c r="M114" s="25"/>
      <c r="N114" s="25"/>
      <c r="O114" s="25"/>
    </row>
    <row r="115" spans="2:15">
      <c r="B115" s="14"/>
      <c r="C115" s="14"/>
      <c r="D115" s="22"/>
      <c r="E115" s="22"/>
      <c r="F115" s="22"/>
      <c r="G115" s="23"/>
      <c r="H115" s="23"/>
      <c r="I115" s="23"/>
      <c r="J115" s="23"/>
      <c r="K115" s="25"/>
      <c r="L115" s="25"/>
      <c r="M115" s="25"/>
      <c r="N115" s="25"/>
      <c r="O115" s="25"/>
    </row>
    <row r="116" spans="1:15">
      <c r="A116" s="10" t="s">
        <v>19</v>
      </c>
      <c r="B116" s="14" t="s">
        <v>24</v>
      </c>
      <c r="C116" s="14" t="s">
        <v>25</v>
      </c>
      <c r="D116" s="25">
        <v>5221.68</v>
      </c>
      <c r="E116" s="25">
        <v>20742.43</v>
      </c>
      <c r="F116" s="25">
        <v>11.09</v>
      </c>
      <c r="G116" s="25">
        <v>18.29</v>
      </c>
      <c r="H116" s="25">
        <v>9121.78</v>
      </c>
      <c r="I116" s="25">
        <v>12983804</v>
      </c>
      <c r="J116" s="25">
        <v>327912</v>
      </c>
      <c r="K116" s="25">
        <v>21613.42</v>
      </c>
      <c r="L116" s="25">
        <v>532.41</v>
      </c>
      <c r="M116" s="25">
        <v>1.51</v>
      </c>
      <c r="N116" s="25">
        <v>0.63</v>
      </c>
      <c r="O116" s="25">
        <v>930</v>
      </c>
    </row>
    <row r="117" ht="28.8" spans="1:6">
      <c r="A117" s="10"/>
      <c r="B117" s="14"/>
      <c r="C117" s="14"/>
      <c r="D117" s="8" t="s">
        <v>16</v>
      </c>
      <c r="E117" s="8" t="s">
        <v>17</v>
      </c>
      <c r="F117" s="9" t="s">
        <v>18</v>
      </c>
    </row>
    <row r="118" spans="1:6">
      <c r="A118" s="10"/>
      <c r="B118" s="14"/>
      <c r="C118" s="14"/>
      <c r="D118" s="9">
        <f>1000/D116</f>
        <v>0.1915092460664</v>
      </c>
      <c r="E118" s="9">
        <f>1000/(F116*(J116/O116))</f>
        <v>0.255737309803213</v>
      </c>
      <c r="F118" s="9">
        <f t="shared" ref="F118:F124" si="1">D118/E118</f>
        <v>0.74885141403014</v>
      </c>
    </row>
    <row r="119" spans="2:6">
      <c r="B119" s="1" t="s">
        <v>52</v>
      </c>
      <c r="C119" s="13">
        <v>5011.11</v>
      </c>
      <c r="D119" s="16">
        <f>1000/C119</f>
        <v>0.199556585267536</v>
      </c>
      <c r="E119" s="16">
        <f>1000/(H116-C119)</f>
        <v>0.243269345386518</v>
      </c>
      <c r="F119" s="16">
        <f t="shared" si="1"/>
        <v>0.820311268361701</v>
      </c>
    </row>
    <row r="121" spans="1:15">
      <c r="A121" s="10" t="s">
        <v>19</v>
      </c>
      <c r="B121" s="14" t="s">
        <v>30</v>
      </c>
      <c r="C121" s="14" t="s">
        <v>25</v>
      </c>
      <c r="D121" s="25">
        <v>5171.61</v>
      </c>
      <c r="E121" s="25">
        <v>21324.06</v>
      </c>
      <c r="F121" s="25">
        <v>11.55</v>
      </c>
      <c r="G121" s="25">
        <v>24.45</v>
      </c>
      <c r="H121" s="25">
        <v>9210.49</v>
      </c>
      <c r="I121" s="25">
        <v>12983804</v>
      </c>
      <c r="J121" s="25">
        <v>327912</v>
      </c>
      <c r="K121" s="25">
        <v>21626.8</v>
      </c>
      <c r="L121" s="25">
        <v>532.74</v>
      </c>
      <c r="M121" s="25">
        <v>1.51</v>
      </c>
      <c r="N121" s="25">
        <v>0.64</v>
      </c>
      <c r="O121" s="25">
        <v>930</v>
      </c>
    </row>
    <row r="122" ht="28.8" spans="1:10">
      <c r="A122" s="10"/>
      <c r="B122" s="14"/>
      <c r="C122" s="14"/>
      <c r="D122" s="8" t="s">
        <v>16</v>
      </c>
      <c r="E122" s="8" t="s">
        <v>17</v>
      </c>
      <c r="F122" s="9" t="s">
        <v>18</v>
      </c>
      <c r="G122" s="15" t="s">
        <v>53</v>
      </c>
      <c r="H122" s="15"/>
      <c r="I122" s="15"/>
      <c r="J122" s="15"/>
    </row>
    <row r="123" spans="1:10">
      <c r="A123" s="10"/>
      <c r="B123" s="14"/>
      <c r="C123" s="14"/>
      <c r="D123" s="9">
        <f>1000/D121</f>
        <v>0.193363382002897</v>
      </c>
      <c r="E123" s="9">
        <f>1000/(F121*(J121/O121))</f>
        <v>0.245552100927933</v>
      </c>
      <c r="F123" s="9">
        <f t="shared" si="1"/>
        <v>0.787463765417533</v>
      </c>
      <c r="G123" s="15"/>
      <c r="H123" s="15"/>
      <c r="I123" s="15"/>
      <c r="J123" s="15"/>
    </row>
    <row r="124" spans="2:10">
      <c r="B124" s="1" t="s">
        <v>52</v>
      </c>
      <c r="C124" s="13">
        <v>5011.11</v>
      </c>
      <c r="D124" s="16">
        <f>1000/C124</f>
        <v>0.199556585267536</v>
      </c>
      <c r="E124" s="16">
        <f>1000/(H121-C124)</f>
        <v>0.238130390676719</v>
      </c>
      <c r="F124" s="16">
        <f t="shared" si="1"/>
        <v>0.838013933040784</v>
      </c>
      <c r="G124" s="15"/>
      <c r="H124" s="15"/>
      <c r="I124" s="15"/>
      <c r="J124" s="15"/>
    </row>
    <row r="126" spans="1:15">
      <c r="A126" s="26" t="s">
        <v>36</v>
      </c>
      <c r="B126" s="14" t="s">
        <v>30</v>
      </c>
      <c r="C126" s="14" t="s">
        <v>25</v>
      </c>
      <c r="D126" s="25">
        <v>7972.39</v>
      </c>
      <c r="E126" s="25">
        <v>39529.86</v>
      </c>
      <c r="F126" s="25">
        <v>23.64</v>
      </c>
      <c r="G126" s="25">
        <v>51.5</v>
      </c>
      <c r="H126" s="25">
        <v>16082.92</v>
      </c>
      <c r="I126" s="25">
        <v>12983804</v>
      </c>
      <c r="J126" s="25">
        <v>327912</v>
      </c>
      <c r="K126" s="25">
        <v>21554.77</v>
      </c>
      <c r="L126" s="25">
        <v>530.97</v>
      </c>
      <c r="M126" s="25">
        <v>1.51</v>
      </c>
      <c r="N126" s="25">
        <v>0.61</v>
      </c>
      <c r="O126" s="25">
        <v>930</v>
      </c>
    </row>
    <row r="127" ht="28.8" spans="1:10">
      <c r="A127" s="26"/>
      <c r="B127" s="14"/>
      <c r="C127" s="14"/>
      <c r="D127" s="8" t="s">
        <v>16</v>
      </c>
      <c r="E127" s="8" t="s">
        <v>17</v>
      </c>
      <c r="F127" s="9" t="s">
        <v>18</v>
      </c>
      <c r="G127" s="27" t="s">
        <v>54</v>
      </c>
      <c r="H127" s="27"/>
      <c r="I127" s="27"/>
      <c r="J127" s="27"/>
    </row>
    <row r="128" spans="1:10">
      <c r="A128" s="26"/>
      <c r="B128" s="14"/>
      <c r="C128" s="14"/>
      <c r="D128" s="9">
        <f>1000/D126</f>
        <v>0.125432900297151</v>
      </c>
      <c r="E128" s="9">
        <f>1000/(F126*(J126/O126))</f>
        <v>0.119971521392455</v>
      </c>
      <c r="F128" s="9">
        <f>D128/E128</f>
        <v>1.04552229430208</v>
      </c>
      <c r="G128" s="27"/>
      <c r="H128" s="27"/>
      <c r="I128" s="27"/>
      <c r="J128" s="27"/>
    </row>
    <row r="129" spans="2:10">
      <c r="B129" s="1" t="s">
        <v>52</v>
      </c>
      <c r="C129" s="13">
        <v>5011.11</v>
      </c>
      <c r="D129" s="16">
        <f>1000/C129</f>
        <v>0.199556585267536</v>
      </c>
      <c r="E129" s="16">
        <f>1000/(H126-C129)</f>
        <v>0.0903194689937779</v>
      </c>
      <c r="F129" s="16">
        <f>D129/E129</f>
        <v>2.20945259633095</v>
      </c>
      <c r="G129" s="27"/>
      <c r="H129" s="27"/>
      <c r="I129" s="27"/>
      <c r="J129" s="27"/>
    </row>
  </sheetData>
  <mergeCells count="82">
    <mergeCell ref="A23:O23"/>
    <mergeCell ref="A39:O39"/>
    <mergeCell ref="A65:O65"/>
    <mergeCell ref="A89:B89"/>
    <mergeCell ref="C89:E89"/>
    <mergeCell ref="A90:B90"/>
    <mergeCell ref="C90:E90"/>
    <mergeCell ref="A91:B91"/>
    <mergeCell ref="C91:E91"/>
    <mergeCell ref="A92:B92"/>
    <mergeCell ref="C92:E92"/>
    <mergeCell ref="A94:O94"/>
    <mergeCell ref="G104:H104"/>
    <mergeCell ref="A2:A5"/>
    <mergeCell ref="A8:A10"/>
    <mergeCell ref="A13:A15"/>
    <mergeCell ref="A19:A21"/>
    <mergeCell ref="A27:A29"/>
    <mergeCell ref="A31:A33"/>
    <mergeCell ref="A45:A47"/>
    <mergeCell ref="A50:A52"/>
    <mergeCell ref="A55:A57"/>
    <mergeCell ref="A60:A62"/>
    <mergeCell ref="A66:A68"/>
    <mergeCell ref="A74:A76"/>
    <mergeCell ref="A79:A81"/>
    <mergeCell ref="A85:A87"/>
    <mergeCell ref="A95:A97"/>
    <mergeCell ref="A101:A103"/>
    <mergeCell ref="A106:A108"/>
    <mergeCell ref="A111:A113"/>
    <mergeCell ref="A116:A118"/>
    <mergeCell ref="A121:A123"/>
    <mergeCell ref="A126:A128"/>
    <mergeCell ref="B2:B5"/>
    <mergeCell ref="B8:B10"/>
    <mergeCell ref="B13:B15"/>
    <mergeCell ref="B19:B21"/>
    <mergeCell ref="B27:B29"/>
    <mergeCell ref="B31:B33"/>
    <mergeCell ref="B35:B37"/>
    <mergeCell ref="B45:B47"/>
    <mergeCell ref="B50:B52"/>
    <mergeCell ref="B55:B57"/>
    <mergeCell ref="B60:B62"/>
    <mergeCell ref="B74:B76"/>
    <mergeCell ref="B79:B81"/>
    <mergeCell ref="B85:B87"/>
    <mergeCell ref="B101:B103"/>
    <mergeCell ref="B106:B108"/>
    <mergeCell ref="B111:B113"/>
    <mergeCell ref="B116:B118"/>
    <mergeCell ref="B121:B123"/>
    <mergeCell ref="B126:B128"/>
    <mergeCell ref="C8:C10"/>
    <mergeCell ref="C13:C15"/>
    <mergeCell ref="C19:C21"/>
    <mergeCell ref="C27:C29"/>
    <mergeCell ref="C31:C33"/>
    <mergeCell ref="C35:C37"/>
    <mergeCell ref="C45:C47"/>
    <mergeCell ref="C50:C52"/>
    <mergeCell ref="C55:C57"/>
    <mergeCell ref="C60:C62"/>
    <mergeCell ref="C74:C76"/>
    <mergeCell ref="C79:C81"/>
    <mergeCell ref="C85:C87"/>
    <mergeCell ref="C101:C103"/>
    <mergeCell ref="C106:C108"/>
    <mergeCell ref="C111:C113"/>
    <mergeCell ref="C116:C118"/>
    <mergeCell ref="C121:C123"/>
    <mergeCell ref="C126:C128"/>
    <mergeCell ref="G46:K47"/>
    <mergeCell ref="L46:M47"/>
    <mergeCell ref="G61:J62"/>
    <mergeCell ref="G75:K76"/>
    <mergeCell ref="G80:K81"/>
    <mergeCell ref="G85:K86"/>
    <mergeCell ref="G122:J124"/>
    <mergeCell ref="G127:J129"/>
    <mergeCell ref="G112:J1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yuhui</cp:lastModifiedBy>
  <dcterms:created xsi:type="dcterms:W3CDTF">2023-05-12T11:15:00Z</dcterms:created>
  <dcterms:modified xsi:type="dcterms:W3CDTF">2025-10-16T03:06:33Z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B818629CF7AE4F349D49968046066777_13</vt:lpwstr>
  </property>
</Properties>
</file>